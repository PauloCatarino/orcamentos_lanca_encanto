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eLivro"/>
  <mc:AlternateContent xmlns:mc="http://schemas.openxmlformats.org/markup-compatibility/2006">
    <mc:Choice Requires="x15">
      <x15ac:absPath xmlns:x15ac="http://schemas.microsoft.com/office/spreadsheetml/2010/11/ac" url="C:\Users\Utilizador\Documents\ORCAMENTOS_LE\ORCAMENTOS_LE\orcamentos_lanca_encanto\Martelo_Orcamentos_V2\Tabelas\"/>
    </mc:Choice>
  </mc:AlternateContent>
  <xr:revisionPtr revIDLastSave="0" documentId="13_ncr:1_{7C65ECA6-508C-4B1C-B7EE-C1167B20DC85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Tab_Materias_Prima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5" i="1" l="1"/>
  <c r="J106" i="1"/>
  <c r="J104" i="1"/>
  <c r="J103" i="1"/>
  <c r="J227" i="1" l="1"/>
  <c r="J226" i="1"/>
  <c r="J101" i="1"/>
  <c r="J158" i="1"/>
  <c r="J184" i="1"/>
  <c r="J182" i="1"/>
  <c r="J181" i="1"/>
  <c r="J272" i="1"/>
  <c r="J267" i="1" l="1"/>
  <c r="J268" i="1"/>
  <c r="J269" i="1"/>
  <c r="J270" i="1"/>
  <c r="J271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57" i="1"/>
  <c r="J144" i="1"/>
  <c r="J216" i="1"/>
  <c r="J215" i="1"/>
  <c r="J162" i="1"/>
  <c r="J161" i="1"/>
  <c r="J242" i="1"/>
  <c r="J199" i="1"/>
  <c r="J201" i="1"/>
  <c r="J200" i="1"/>
  <c r="J163" i="1"/>
  <c r="J194" i="1"/>
  <c r="J248" i="1"/>
  <c r="J246" i="1"/>
  <c r="J247" i="1"/>
  <c r="J236" i="1"/>
  <c r="J237" i="1"/>
  <c r="J241" i="1"/>
  <c r="J240" i="1"/>
  <c r="J239" i="1"/>
  <c r="J238" i="1"/>
  <c r="J193" i="1"/>
  <c r="J261" i="1"/>
  <c r="J263" i="1"/>
  <c r="J262" i="1"/>
  <c r="J257" i="1"/>
  <c r="J258" i="1"/>
  <c r="J260" i="1"/>
  <c r="J259" i="1"/>
  <c r="J143" i="1"/>
  <c r="J172" i="1"/>
  <c r="J171" i="1"/>
  <c r="J235" i="1"/>
  <c r="J98" i="1"/>
  <c r="J185" i="1"/>
  <c r="J99" i="1"/>
  <c r="J218" i="1"/>
  <c r="J219" i="1"/>
  <c r="J220" i="1"/>
  <c r="J217" i="1"/>
  <c r="J222" i="1"/>
  <c r="J221" i="1"/>
  <c r="J121" i="1"/>
  <c r="J122" i="1"/>
  <c r="J170" i="1"/>
  <c r="J198" i="1"/>
  <c r="J197" i="1"/>
  <c r="J196" i="1"/>
  <c r="J195" i="1"/>
  <c r="J223" i="1"/>
  <c r="J224" i="1"/>
  <c r="J97" i="1"/>
  <c r="J120" i="1"/>
  <c r="J119" i="1"/>
  <c r="J117" i="1"/>
  <c r="J118" i="1"/>
  <c r="J116" i="1"/>
  <c r="J115" i="1"/>
  <c r="J114" i="1"/>
  <c r="J113" i="1"/>
  <c r="J112" i="1"/>
  <c r="J111" i="1"/>
  <c r="J108" i="1"/>
  <c r="J109" i="1"/>
  <c r="J107" i="1"/>
  <c r="J245" i="1"/>
  <c r="J243" i="1"/>
  <c r="J244" i="1"/>
  <c r="J229" i="1"/>
  <c r="J159" i="1"/>
  <c r="J160" i="1"/>
  <c r="J225" i="1"/>
  <c r="J228" i="1"/>
  <c r="J100" i="1"/>
  <c r="J110" i="1"/>
  <c r="J102" i="1"/>
  <c r="J166" i="1"/>
  <c r="J167" i="1"/>
  <c r="J168" i="1"/>
  <c r="J165" i="1"/>
  <c r="J169" i="1"/>
  <c r="J164" i="1"/>
  <c r="J233" i="1"/>
  <c r="J230" i="1"/>
  <c r="J231" i="1"/>
  <c r="J232" i="1"/>
  <c r="J140" i="1"/>
  <c r="J142" i="1"/>
  <c r="J141" i="1"/>
  <c r="J139" i="1"/>
  <c r="J137" i="1"/>
  <c r="J138" i="1"/>
  <c r="J136" i="1"/>
  <c r="J135" i="1"/>
  <c r="J132" i="1"/>
  <c r="J130" i="1"/>
  <c r="J128" i="1"/>
  <c r="J127" i="1"/>
  <c r="J123" i="1"/>
  <c r="J134" i="1"/>
  <c r="J133" i="1"/>
  <c r="J131" i="1"/>
  <c r="J129" i="1"/>
  <c r="J126" i="1"/>
  <c r="J125" i="1"/>
  <c r="J124" i="1"/>
  <c r="J188" i="1"/>
  <c r="J187" i="1"/>
  <c r="J192" i="1"/>
  <c r="J190" i="1"/>
  <c r="J191" i="1"/>
  <c r="J189" i="1"/>
  <c r="J186" i="1"/>
  <c r="J212" i="1"/>
  <c r="J211" i="1"/>
  <c r="J210" i="1"/>
  <c r="J209" i="1"/>
  <c r="J208" i="1"/>
  <c r="J207" i="1"/>
  <c r="J206" i="1"/>
  <c r="J205" i="1"/>
  <c r="J204" i="1"/>
  <c r="J203" i="1"/>
  <c r="J202" i="1"/>
  <c r="J214" i="1"/>
  <c r="J213" i="1"/>
  <c r="J85" i="1"/>
  <c r="J86" i="1"/>
  <c r="J83" i="1"/>
  <c r="J84" i="1"/>
  <c r="J81" i="1"/>
  <c r="J82" i="1"/>
  <c r="J79" i="1"/>
  <c r="J80" i="1"/>
  <c r="J77" i="1"/>
  <c r="J78" i="1"/>
  <c r="J75" i="1"/>
  <c r="J76" i="1"/>
  <c r="J73" i="1"/>
  <c r="J74" i="1"/>
  <c r="J89" i="1"/>
  <c r="J87" i="1"/>
  <c r="J88" i="1"/>
  <c r="J48" i="1"/>
  <c r="J49" i="1"/>
  <c r="J64" i="1"/>
  <c r="J65" i="1"/>
  <c r="J62" i="1"/>
  <c r="J63" i="1"/>
  <c r="J60" i="1"/>
  <c r="J61" i="1"/>
  <c r="J58" i="1"/>
  <c r="J59" i="1"/>
  <c r="J56" i="1"/>
  <c r="J57" i="1"/>
  <c r="J54" i="1"/>
  <c r="J55" i="1"/>
  <c r="J52" i="1"/>
  <c r="J53" i="1"/>
  <c r="J50" i="1"/>
  <c r="J51" i="1"/>
  <c r="J46" i="1"/>
  <c r="J47" i="1"/>
  <c r="J183" i="1"/>
  <c r="J94" i="1"/>
  <c r="J95" i="1"/>
  <c r="J96" i="1"/>
  <c r="J92" i="1"/>
  <c r="J93" i="1"/>
  <c r="J71" i="1"/>
  <c r="J70" i="1"/>
  <c r="J72" i="1"/>
  <c r="J40" i="1"/>
  <c r="J39" i="1"/>
  <c r="J38" i="1"/>
  <c r="J36" i="1"/>
  <c r="J35" i="1"/>
  <c r="J34" i="1"/>
  <c r="J33" i="1"/>
  <c r="J37" i="1"/>
  <c r="J31" i="1"/>
  <c r="J30" i="1"/>
  <c r="J29" i="1"/>
  <c r="J69" i="1"/>
  <c r="J68" i="1"/>
  <c r="J67" i="1"/>
  <c r="J66" i="1"/>
  <c r="J44" i="1"/>
  <c r="J43" i="1"/>
  <c r="J45" i="1"/>
  <c r="J41" i="1"/>
  <c r="J91" i="1"/>
  <c r="J42" i="1"/>
  <c r="J32" i="1"/>
  <c r="J28" i="1"/>
  <c r="J27" i="1"/>
  <c r="J90" i="1"/>
  <c r="J26" i="1"/>
  <c r="J25" i="1"/>
  <c r="J24" i="1"/>
  <c r="J23" i="1"/>
  <c r="J22" i="1"/>
  <c r="J234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176" i="1"/>
  <c r="J175" i="1"/>
  <c r="J178" i="1"/>
  <c r="J177" i="1"/>
  <c r="J252" i="1"/>
  <c r="J251" i="1"/>
  <c r="J250" i="1"/>
  <c r="J249" i="1"/>
  <c r="J256" i="1"/>
  <c r="J255" i="1"/>
  <c r="J254" i="1"/>
  <c r="J253" i="1"/>
  <c r="J180" i="1"/>
  <c r="J179" i="1"/>
  <c r="J174" i="1"/>
  <c r="J17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Andreia_Verissimo</author>
  </authors>
  <commentList>
    <comment ref="Z5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Andreia_Verissimo:
COLOCAR 1 SE NÃO FOR DE STOCK</t>
        </r>
      </text>
    </comment>
  </commentList>
</comments>
</file>

<file path=xl/sharedStrings.xml><?xml version="1.0" encoding="utf-8"?>
<sst xmlns="http://schemas.openxmlformats.org/spreadsheetml/2006/main" count="2127" uniqueCount="648">
  <si>
    <t>ID_MP</t>
  </si>
  <si>
    <t>REF_PHC</t>
  </si>
  <si>
    <t>REF_FORNECEDOR</t>
  </si>
  <si>
    <t>Ref_LE</t>
  </si>
  <si>
    <t>DESCRICAO_do_PHC</t>
  </si>
  <si>
    <t>DESCRICAO_no_ORCAMENTO</t>
  </si>
  <si>
    <t>PRECO_TABELA</t>
  </si>
  <si>
    <t>PLIQ</t>
  </si>
  <si>
    <t>UND</t>
  </si>
  <si>
    <t>DESP</t>
  </si>
  <si>
    <t>ESP_MP</t>
  </si>
  <si>
    <t>TIPO</t>
  </si>
  <si>
    <t>FAMILIA</t>
  </si>
  <si>
    <t>COR</t>
  </si>
  <si>
    <t>COR_REF_MATERIAL</t>
  </si>
  <si>
    <t>COMP_MP</t>
  </si>
  <si>
    <t>LARG_MP</t>
  </si>
  <si>
    <t>NOME_FORNECEDOR</t>
  </si>
  <si>
    <t>NOME_FABRICANTE</t>
  </si>
  <si>
    <t>DATA_ULTIMO_PRECO</t>
  </si>
  <si>
    <t>APLICACAO</t>
  </si>
  <si>
    <t>STOCK</t>
  </si>
  <si>
    <t>NOTAS_2</t>
  </si>
  <si>
    <t>NOTAS_3</t>
  </si>
  <si>
    <t>NOTAS_4</t>
  </si>
  <si>
    <t>ACB0001</t>
  </si>
  <si>
    <t>LACAGEM BRANCO MATE (1 FACE)</t>
  </si>
  <si>
    <t>M2</t>
  </si>
  <si>
    <t>LACAR</t>
  </si>
  <si>
    <t>ACABAMENTOS</t>
  </si>
  <si>
    <t>ACB0002</t>
  </si>
  <si>
    <t>LACAGEM BRANCO MATE (2 FACES)</t>
  </si>
  <si>
    <t>VERNIZ</t>
  </si>
  <si>
    <t>ACB0003</t>
  </si>
  <si>
    <t>LACAGEM RAL MATE (1 FACE)</t>
  </si>
  <si>
    <t>ACB0004</t>
  </si>
  <si>
    <t>LACAGEM RAL MATE (2 FACE)</t>
  </si>
  <si>
    <t>ACB0005</t>
  </si>
  <si>
    <t>VERNIZ POLIURETANO (1 FACE)</t>
  </si>
  <si>
    <t>ACB0006</t>
  </si>
  <si>
    <t>VERNIZ POLIURETANO (2 FACES)</t>
  </si>
  <si>
    <t>ACB0007</t>
  </si>
  <si>
    <t>VERNIZ POLIURETANO + VELATURA (1 FACE)</t>
  </si>
  <si>
    <t>ACB0008</t>
  </si>
  <si>
    <t>VERNIZ POLIURETANO + VELATURA (2 FACES)</t>
  </si>
  <si>
    <t>ACB0009</t>
  </si>
  <si>
    <t>VERNIZ ACRILICO (1 FACE)</t>
  </si>
  <si>
    <t>ACB0010</t>
  </si>
  <si>
    <t>VERNIZ ACRILICO (2 FACES)</t>
  </si>
  <si>
    <t>ACB0011</t>
  </si>
  <si>
    <t>VERNIZ ACRILICO + VELATURA (1 FACE)</t>
  </si>
  <si>
    <t>ACB0012</t>
  </si>
  <si>
    <t>VERNIZ ACRILICO + VELATURA (2 FACES)</t>
  </si>
  <si>
    <t>ACB0013</t>
  </si>
  <si>
    <t>LACAGEM LIVRE (ML)</t>
  </si>
  <si>
    <t>ML</t>
  </si>
  <si>
    <t>ACB0014</t>
  </si>
  <si>
    <t>ACB0015</t>
  </si>
  <si>
    <t>LACAGEM LIVRE</t>
  </si>
  <si>
    <t>ACB0016</t>
  </si>
  <si>
    <t>FOLHEADO_ALDECOR</t>
  </si>
  <si>
    <t>PLC0001</t>
  </si>
  <si>
    <t>AGL FOL ALD. BÉTULA DESENROLADA  19MM</t>
  </si>
  <si>
    <t>AGLOMERADO</t>
  </si>
  <si>
    <t>PLACAS</t>
  </si>
  <si>
    <t>CARVALHO</t>
  </si>
  <si>
    <t>ORL0002</t>
  </si>
  <si>
    <t>ORL0003</t>
  </si>
  <si>
    <t>B&amp;F</t>
  </si>
  <si>
    <t>PLC0002</t>
  </si>
  <si>
    <t>AGL FOL ALD. CARV. BRANCO US FIG.  19MM</t>
  </si>
  <si>
    <t>PLC0003</t>
  </si>
  <si>
    <t>AGL FOL ALD. CARV. BRANCO US LIST.  19MM</t>
  </si>
  <si>
    <t>PLC0004</t>
  </si>
  <si>
    <t>AGL FOL ALD. CARV. EUROPEU FIG.  19MM</t>
  </si>
  <si>
    <t>PLC0005</t>
  </si>
  <si>
    <t>AGL FOL ALD. CARV. EUROPEU LIST.  19MM</t>
  </si>
  <si>
    <t>PLC0006</t>
  </si>
  <si>
    <t>AGL FOL ALD. CARV. VERMELHO FIG.  19MM</t>
  </si>
  <si>
    <t>PLC0007</t>
  </si>
  <si>
    <t>AGL FOL ALD. CEREJEIRA US FIG.  19MM</t>
  </si>
  <si>
    <t>PLC0008</t>
  </si>
  <si>
    <t>AGL FOL ALD. EUCALIPTO LIS.  19MM</t>
  </si>
  <si>
    <t>PLC0009</t>
  </si>
  <si>
    <t>AGL FOL ALD. FAIA BRANCA FIG.  19MM</t>
  </si>
  <si>
    <t>PLC0010</t>
  </si>
  <si>
    <t>AGL FOL ALD. FAIA VAPORIZADA FIG.  19MM</t>
  </si>
  <si>
    <t>PLC0011</t>
  </si>
  <si>
    <t>AGL FOL ALD. FREIXO FIG.  19MM</t>
  </si>
  <si>
    <t>PLC0012</t>
  </si>
  <si>
    <t>AGL FOL ALD. KAMBALA LIS.  19MM</t>
  </si>
  <si>
    <t>PLC0013</t>
  </si>
  <si>
    <t>AGL FOL ALD. MAPLE/ERABLE FIG.  19MM</t>
  </si>
  <si>
    <t>FAIA</t>
  </si>
  <si>
    <t>PLC0014</t>
  </si>
  <si>
    <t>AGL FOL ALD. MOGNO SAPELY LIS.  19MM</t>
  </si>
  <si>
    <t>PLC0015</t>
  </si>
  <si>
    <t>AGL FOL ALD. NOGUEIRA US FIG.  19MM</t>
  </si>
  <si>
    <t>PLC0016</t>
  </si>
  <si>
    <t>AGL FOL ALD. PINHO EUROPEU FIG.  19MM</t>
  </si>
  <si>
    <t>SUPERPAN BRANCO</t>
  </si>
  <si>
    <t>PLC0017</t>
  </si>
  <si>
    <t>SUPERPAN STD MLM BRANCO SUPER  19MM</t>
  </si>
  <si>
    <t>BRANCO</t>
  </si>
  <si>
    <t>FINSA</t>
  </si>
  <si>
    <t>B3768 MA</t>
  </si>
  <si>
    <t>PLC0018</t>
  </si>
  <si>
    <t>AGL MLM BRANCO B3768/MA  19MM</t>
  </si>
  <si>
    <t>SONAE</t>
  </si>
  <si>
    <t>B3768 SC</t>
  </si>
  <si>
    <t>PLC0019</t>
  </si>
  <si>
    <t>AGL MLM BRANCO B3768/SC  12MM</t>
  </si>
  <si>
    <t>PLC0020</t>
  </si>
  <si>
    <t>AGL MLM BRANCO B3768/SC  19MM</t>
  </si>
  <si>
    <t>PLC0021</t>
  </si>
  <si>
    <t>AGL MLM BRANCO B3768/SC  30MM</t>
  </si>
  <si>
    <t>B3822 ASM</t>
  </si>
  <si>
    <t>PLC0022</t>
  </si>
  <si>
    <t>AGL MLM BRANCO B3822/ASM  08MM</t>
  </si>
  <si>
    <t>PLC0023</t>
  </si>
  <si>
    <t>AGL MR MLM BRANCO B3768/SC  16MM</t>
  </si>
  <si>
    <t>PLC0024</t>
  </si>
  <si>
    <t>AGL MLM BRANCO B3822/ASM  16MM</t>
  </si>
  <si>
    <t>PLC0025</t>
  </si>
  <si>
    <t>AGL MLM BRANCO B3822/ASM  19MM</t>
  </si>
  <si>
    <t>W1000 ST9</t>
  </si>
  <si>
    <t>PLC0026</t>
  </si>
  <si>
    <t>AGL MLM BRANCO W1000/ST9  19MM</t>
  </si>
  <si>
    <t>EGGER</t>
  </si>
  <si>
    <t>L166 SC</t>
  </si>
  <si>
    <t>PLC0027</t>
  </si>
  <si>
    <t>AGL MLM CINZA CLARO L166/SC  8MM</t>
  </si>
  <si>
    <t>CINZA</t>
  </si>
  <si>
    <t>PLC0028</t>
  </si>
  <si>
    <t>AGL MR MLM CINZA CLARO L166/SC  16MM</t>
  </si>
  <si>
    <t>PLC0029</t>
  </si>
  <si>
    <t>AGL MLM CINZA CLARO L166/SC  19MM</t>
  </si>
  <si>
    <t>L167 SC</t>
  </si>
  <si>
    <t>PLC0030</t>
  </si>
  <si>
    <t>AGL MLM CINZA ESCURO L167/SC  8MM</t>
  </si>
  <si>
    <t>ANTRACITE</t>
  </si>
  <si>
    <t>PLC0031</t>
  </si>
  <si>
    <t>AGL MLM CINZA ESCURO L167/SC  16MM</t>
  </si>
  <si>
    <t>PLC0032</t>
  </si>
  <si>
    <t>AGL MLM CINZA ESCURO L167/SC  19MM</t>
  </si>
  <si>
    <t>LINHO CANCUN</t>
  </si>
  <si>
    <t>PLC0033</t>
  </si>
  <si>
    <t>AGL MLM LINHO CANCUN 12G  10MM</t>
  </si>
  <si>
    <t>LINHO</t>
  </si>
  <si>
    <t>PLC0034</t>
  </si>
  <si>
    <t>AGL MLM LINHO CANCUN 12G  16MM</t>
  </si>
  <si>
    <t>PLC0035</t>
  </si>
  <si>
    <t>AGL MLM LINHO CANCUN 12G  19MM</t>
  </si>
  <si>
    <t>PLC0036</t>
  </si>
  <si>
    <t>AGL MLM LINHO CANCUN 12G  30MM</t>
  </si>
  <si>
    <t>B4401 SP1</t>
  </si>
  <si>
    <t>PLC0037</t>
  </si>
  <si>
    <t>AGL MLM BRANCO B4401/SP1  12MM</t>
  </si>
  <si>
    <t>PLC0038</t>
  </si>
  <si>
    <t>AGL MLM BRANCO B4401/SP1  19MM</t>
  </si>
  <si>
    <t>PLC0039</t>
  </si>
  <si>
    <t>AGL MLM BRANCO B4401/SP1  30MM</t>
  </si>
  <si>
    <t>H3331 ST10</t>
  </si>
  <si>
    <t>PLC0040</t>
  </si>
  <si>
    <t>AGL MLM CARVALHO H3331/ST10  19MM</t>
  </si>
  <si>
    <t>ORL0004</t>
  </si>
  <si>
    <t>ORL0005</t>
  </si>
  <si>
    <t>H3395 ST12</t>
  </si>
  <si>
    <t>PLC0041</t>
  </si>
  <si>
    <t>AGL MLM CARVALHO CORB. NAT. H3395/ST12  08MM</t>
  </si>
  <si>
    <t>PLC0042</t>
  </si>
  <si>
    <t>AGL MLM CARVALHO CORB. NAT. H3395/ST12  12MM</t>
  </si>
  <si>
    <t>PLC0043</t>
  </si>
  <si>
    <t>AGL MLM CARVALHO CORB. NAT. H3395/ST12  19MM</t>
  </si>
  <si>
    <t>PLC0044</t>
  </si>
  <si>
    <t>AGL MLM CARVALHO CORB. NAT. H3395/ST12  28MM</t>
  </si>
  <si>
    <t>M6054 NTL</t>
  </si>
  <si>
    <t>PLC0045</t>
  </si>
  <si>
    <t>AGL MLM CARVALHO SERRADO M6054/NTL  12MM</t>
  </si>
  <si>
    <t>PLC0046</t>
  </si>
  <si>
    <t>AGL MLM CARVALHO SERRADO M6054/NTL  19MM</t>
  </si>
  <si>
    <t>PLC0047</t>
  </si>
  <si>
    <t>AGL MLM CARVALHO SERRADO M6054/NTL  30MM</t>
  </si>
  <si>
    <t>H3734 ST9</t>
  </si>
  <si>
    <t>PLC0048</t>
  </si>
  <si>
    <t>AGL MLM NOGUEIRA H3734/ST9  8MM</t>
  </si>
  <si>
    <t>NOGUEIRA</t>
  </si>
  <si>
    <t>PLC0049</t>
  </si>
  <si>
    <t>AGL MLM NOGUEIRA H3734/ST9  19MM</t>
  </si>
  <si>
    <t>PLC0050</t>
  </si>
  <si>
    <t>AGL MLM NOGUEIRA H3734/ST9  28MM</t>
  </si>
  <si>
    <t>410 BRILHO</t>
  </si>
  <si>
    <t>PLC0051</t>
  </si>
  <si>
    <t>AGL TERM BRANCO GHIACCIO 410/BRILHO  19MM</t>
  </si>
  <si>
    <t>J.P.LEITÃO</t>
  </si>
  <si>
    <t>ABET LAMINATI</t>
  </si>
  <si>
    <t>413 BRILHO</t>
  </si>
  <si>
    <t>PLC0052</t>
  </si>
  <si>
    <t>AGL TERM BEGE ARDENNE 413/BRILHO  19MM</t>
  </si>
  <si>
    <t>BEGE</t>
  </si>
  <si>
    <t>475 BRILHO</t>
  </si>
  <si>
    <t>PLC0053</t>
  </si>
  <si>
    <t>AGL TERM CINZA PERLA 475/BRILHO  19MM</t>
  </si>
  <si>
    <t>879 BRILHO</t>
  </si>
  <si>
    <t>PLC0054</t>
  </si>
  <si>
    <t>AGL TERM CINZA GRAFITE 879/BRILHO  19MM</t>
  </si>
  <si>
    <t>410 MATE</t>
  </si>
  <si>
    <t>PLC0055</t>
  </si>
  <si>
    <t xml:space="preserve">AGL TERM BRANCO GHIACCIO 410/MATE  19MM </t>
  </si>
  <si>
    <t>B3002 MA</t>
  </si>
  <si>
    <t>PLC0056</t>
  </si>
  <si>
    <t>MDF MR MLM BRANCA B3002/MA  19MM</t>
  </si>
  <si>
    <t>MDF</t>
  </si>
  <si>
    <t>PLC0057</t>
  </si>
  <si>
    <t>MDF MR MLM BRANCA B3822/MA  16MM</t>
  </si>
  <si>
    <t>EGGER GRUPO I</t>
  </si>
  <si>
    <t>PLC0058</t>
  </si>
  <si>
    <t>AGL MLM EGGER GRUPO 1  19MM</t>
  </si>
  <si>
    <t>PLC0059</t>
  </si>
  <si>
    <t>AGL MLM EGGER GRUPO 1  08MM</t>
  </si>
  <si>
    <t>EGGER GRUPO II</t>
  </si>
  <si>
    <t>PLC0060</t>
  </si>
  <si>
    <t>AGL MLM EGGER GRUPO 2  19MM</t>
  </si>
  <si>
    <t>PLC0061</t>
  </si>
  <si>
    <t>AGL MLM EGGER GRUPO 2  08MM</t>
  </si>
  <si>
    <t>EGGER GRUPO III</t>
  </si>
  <si>
    <t>PLC0062</t>
  </si>
  <si>
    <t>AGL MLM EGGER GRUPO 3  19MM</t>
  </si>
  <si>
    <t>PLC0063</t>
  </si>
  <si>
    <t>AGL MLM EGGER GRUPO 3  08MM</t>
  </si>
  <si>
    <t>EGGER GRUPO IV</t>
  </si>
  <si>
    <t>PLC0064</t>
  </si>
  <si>
    <t>AGL MLM EGGER GRUPO 4  19MM</t>
  </si>
  <si>
    <t>PLC0065</t>
  </si>
  <si>
    <t>AGL MLM EGGER GRUPO 4  08MM</t>
  </si>
  <si>
    <t>EGGER GRUPO V</t>
  </si>
  <si>
    <t>PLC0066</t>
  </si>
  <si>
    <t>AGL MLM EGGER GRUPO 5  19MM</t>
  </si>
  <si>
    <t>PLC0067</t>
  </si>
  <si>
    <t>AGL MLM EGGER GRUPO 5  08MM</t>
  </si>
  <si>
    <t>EGGER GRUPO VI</t>
  </si>
  <si>
    <t>PLC0068</t>
  </si>
  <si>
    <t>AGL MLM EGGER GRUPO 6  19MM</t>
  </si>
  <si>
    <t>PLC0069</t>
  </si>
  <si>
    <t>AGL MLM EGGER GRUPO 6  08MM</t>
  </si>
  <si>
    <t>EGGER GRUPO VII</t>
  </si>
  <si>
    <t>PLC0070</t>
  </si>
  <si>
    <t>AGL MLM EGGER GRUPO 7  19MM</t>
  </si>
  <si>
    <t>PLC0071</t>
  </si>
  <si>
    <t>AGL MLM EGGER GRUPO 7  08MM</t>
  </si>
  <si>
    <t>EGGER GRUPO VIII</t>
  </si>
  <si>
    <t>PLC0072</t>
  </si>
  <si>
    <t>AGL MLM EGGER GRUPO 8  19MM</t>
  </si>
  <si>
    <t>PLC0073</t>
  </si>
  <si>
    <t>AGL MLM EGGER GRUPO 8  08MM</t>
  </si>
  <si>
    <t>EGGER GRUPO IX</t>
  </si>
  <si>
    <t>PLC0074</t>
  </si>
  <si>
    <t>AGL MLM EGGER GRUPO 9  19MM</t>
  </si>
  <si>
    <t>PLC0075</t>
  </si>
  <si>
    <t>AGL MLM EGGER GRUPO 9  08MM</t>
  </si>
  <si>
    <t>EGGER GRUPO X</t>
  </si>
  <si>
    <t>PLC0076</t>
  </si>
  <si>
    <t>AGL MLM EGGER GRUPO 10  19MM</t>
  </si>
  <si>
    <t>PLC0077</t>
  </si>
  <si>
    <t>AGL MLM EGGER GRUPO 10  08MM</t>
  </si>
  <si>
    <t>INNOVUS PROMO 1+</t>
  </si>
  <si>
    <t>PLC0078</t>
  </si>
  <si>
    <t>AGL MLM SONAE PROMO 1+  19MM</t>
  </si>
  <si>
    <t>PLC0079</t>
  </si>
  <si>
    <t>AGL MLM SONAE PROMO 1+  10MM</t>
  </si>
  <si>
    <t>INNOVUS PROMO 2</t>
  </si>
  <si>
    <t>PLC0080</t>
  </si>
  <si>
    <t>AGL MLM SONAE PROMO 2  19MM</t>
  </si>
  <si>
    <t>INNOVUS EVERYDAY</t>
  </si>
  <si>
    <t>PLC0081</t>
  </si>
  <si>
    <t>AGL MLM SONAE EVERYDAY  19MM</t>
  </si>
  <si>
    <t>PLC0082</t>
  </si>
  <si>
    <t>AGL MLM SONAE EVERYDAY  10MM</t>
  </si>
  <si>
    <t>INNOVUS I GRUPO 1</t>
  </si>
  <si>
    <t>PLC0083</t>
  </si>
  <si>
    <t>AGL MLM SONAE INNOVUS I_GRUPO 1  19MM</t>
  </si>
  <si>
    <t>PLC0084</t>
  </si>
  <si>
    <t>AGL MLM SONAE INNOVUS I_GRUPO 1  10MM</t>
  </si>
  <si>
    <t>INNOVUS I GRUPO 2</t>
  </si>
  <si>
    <t>PLC0085</t>
  </si>
  <si>
    <t>AGL MLM SONAE INNOVUS I_GRUPO 2  19MM</t>
  </si>
  <si>
    <t>PLC0086</t>
  </si>
  <si>
    <t>AGL MLM SONAE INNOVUS I_GRUPO 2  10MM</t>
  </si>
  <si>
    <t>INNOVUS II GRUPO 3</t>
  </si>
  <si>
    <t>PLC0087</t>
  </si>
  <si>
    <t>AGL MLM SONAE INNOVUS II_GRUPO 3  19MM</t>
  </si>
  <si>
    <t>PLC0088</t>
  </si>
  <si>
    <t>AGL MLM SONAE INNOVUS II_GRUPO 3  10MM</t>
  </si>
  <si>
    <t>INNOVUS II GRUPO 4</t>
  </si>
  <si>
    <t>PLC0089</t>
  </si>
  <si>
    <t>AGL MLM SONAE INNOVUS II_GRUPO 4  19MM</t>
  </si>
  <si>
    <t>PLC0090</t>
  </si>
  <si>
    <t>AGL MLM SONAE INNOVUS II_GRUPO 4  10MM</t>
  </si>
  <si>
    <t>INNOVUS PREMIUM GRUPO 5</t>
  </si>
  <si>
    <t>PLC0091</t>
  </si>
  <si>
    <t>AGL MLM SONAE PREMIUM_GRUPO 5  19MM</t>
  </si>
  <si>
    <t>PLC0092</t>
  </si>
  <si>
    <t>AGL MLM SONAE PREMIUM_GRUPO 5  10MM</t>
  </si>
  <si>
    <t>INNOVUS PREMIUM GRUPO 6</t>
  </si>
  <si>
    <t>PLC0093</t>
  </si>
  <si>
    <t>AGL MLM SONAE PREMIUM_GRUPO 6 19MM</t>
  </si>
  <si>
    <t>PLC0094</t>
  </si>
  <si>
    <t>AGL MLM SONAE PREMIUM_GRUPO 6 10MM</t>
  </si>
  <si>
    <t>PLC0095</t>
  </si>
  <si>
    <t>PLACAS LIVRES S/ ORLA</t>
  </si>
  <si>
    <t>PLC0096</t>
  </si>
  <si>
    <t>PLC0097</t>
  </si>
  <si>
    <t>PLACAS LIVRES</t>
  </si>
  <si>
    <t>PLC0098</t>
  </si>
  <si>
    <t>PLC0099</t>
  </si>
  <si>
    <t>PLC0100</t>
  </si>
  <si>
    <t>PLC0101</t>
  </si>
  <si>
    <t>PLC0102</t>
  </si>
  <si>
    <t>PLC0103</t>
  </si>
  <si>
    <t>PLC0104</t>
  </si>
  <si>
    <t>PLC0105</t>
  </si>
  <si>
    <t>PLC0106</t>
  </si>
  <si>
    <t>PLC0107</t>
  </si>
  <si>
    <t>ORL0001</t>
  </si>
  <si>
    <t xml:space="preserve">ORLA ABS 2.0MM </t>
  </si>
  <si>
    <t>ORLA</t>
  </si>
  <si>
    <t>ORLA PVC 0.4 BRANCO/CINZA/LINHO</t>
  </si>
  <si>
    <t>ORLA PVC 1.0 BRANCO/CINZA/LINHO</t>
  </si>
  <si>
    <t>ORLA PVC 0.4MM DESENHO MADEIRAS</t>
  </si>
  <si>
    <t>ORLA PVC 1.0MM DESENHO MADEIRAS</t>
  </si>
  <si>
    <t>ORL0006</t>
  </si>
  <si>
    <t>ORLA LIVRE</t>
  </si>
  <si>
    <t>ORL0007</t>
  </si>
  <si>
    <t>FER0001</t>
  </si>
  <si>
    <t>CORRED. EXTR. TOTAL  - MOVENTO - 40Kg (500MM) SOFT CLOSE</t>
  </si>
  <si>
    <t>CORREDICAS</t>
  </si>
  <si>
    <t>FERRAGENS</t>
  </si>
  <si>
    <t>SOMAPIL</t>
  </si>
  <si>
    <t>BLUM</t>
  </si>
  <si>
    <t>FER0002</t>
  </si>
  <si>
    <t>CORRED. EXTR. TOTAL  - MOVENTO - 60Kg (500MM) SOFT CLOSE</t>
  </si>
  <si>
    <t>FER0003</t>
  </si>
  <si>
    <t>CORRED. EXTR. TOTAL  - SILVER  (350MM) SOFT CLOSE</t>
  </si>
  <si>
    <t>EMUCA</t>
  </si>
  <si>
    <t>FER0004</t>
  </si>
  <si>
    <t>CORRED. EXTR. TOTAL  - SILVER  (400MM) SOFT CLOSE</t>
  </si>
  <si>
    <t>FER0005</t>
  </si>
  <si>
    <t>CORRED. EXTR. TOTAL  - SILVER  (450MM) SOFT CLOSE</t>
  </si>
  <si>
    <t>FER0006</t>
  </si>
  <si>
    <t>CORRED. EXTR. TOTAL  - SILVER  (500MM) SOFT CLOSE</t>
  </si>
  <si>
    <t>FER0007</t>
  </si>
  <si>
    <t>CORRED. EXTR. TOTAL  - TANDEM - 30Kg  (510MM) SOFT CLOSE</t>
  </si>
  <si>
    <t>FER0008</t>
  </si>
  <si>
    <t>CORRED. EXTR. TOTAL  - MOVENTO - 40Kg  (500MM) TIC-TAC&amp;BLUMOTION</t>
  </si>
  <si>
    <t>FER0009</t>
  </si>
  <si>
    <t>CORRED. EXTR. TOTAL  - SILVER  (350MM) TIC-TAC</t>
  </si>
  <si>
    <t>FER0010</t>
  </si>
  <si>
    <t>CORRED. EXTR. TOTAL  - SILVER  (400MM)  TIC-TAC</t>
  </si>
  <si>
    <t>FER0011</t>
  </si>
  <si>
    <t>CORRED. EXTR. TOTAL  - SILVER  (450MM)  TIC-TAC</t>
  </si>
  <si>
    <t>FER0012</t>
  </si>
  <si>
    <t>CORRED. EXTR. TOTAL  - SILVER  (500MM)  TIC-TAC</t>
  </si>
  <si>
    <t>FER0013</t>
  </si>
  <si>
    <t>CORRED. EXTR. TOTAL  - TANDEM - 30Kg (510MM)  TIC-TAC</t>
  </si>
  <si>
    <t>FER0014</t>
  </si>
  <si>
    <t>DOBRADIÇA BLUM CANTO 95º + CALÇO H3</t>
  </si>
  <si>
    <t>DOBRADICAS</t>
  </si>
  <si>
    <t>FER0015</t>
  </si>
  <si>
    <t>DOBRADIÇA BLUM RETA 107º (SOFT CLOSE) + CALÇO H0</t>
  </si>
  <si>
    <t>FER0016</t>
  </si>
  <si>
    <t>DOBRADIÇA BLUM RETA 107º (MOLA) + CALÇO H0</t>
  </si>
  <si>
    <t>FER0017</t>
  </si>
  <si>
    <t>DOBRADIÇA BLUM RETA 155º (SOFT CLOSE) + CALÇO H0</t>
  </si>
  <si>
    <t>FER0018</t>
  </si>
  <si>
    <t>DOBRADIÇA X92 RETA 105º SOFT CLOSE +  CALÇO H0</t>
  </si>
  <si>
    <t>FER0019</t>
  </si>
  <si>
    <t>DOBRADIÇA X92 RETA 165º SOFT CLOSE +  CALÇO H0</t>
  </si>
  <si>
    <t>FER0020</t>
  </si>
  <si>
    <t>DOBRADIÇA X92 RETA 105º MOLA +  CALÇO H0</t>
  </si>
  <si>
    <t>FER0021</t>
  </si>
  <si>
    <t xml:space="preserve">SIST. AVENTOS HK-XS C/ BLUMOTION </t>
  </si>
  <si>
    <t>FER0022</t>
  </si>
  <si>
    <t xml:space="preserve">SIST. AVENTOS HK-S C/ BLUMOTION </t>
  </si>
  <si>
    <t>FER0023</t>
  </si>
  <si>
    <t xml:space="preserve">SIST. AVENTOS HK TOP C/ BLUMOTION </t>
  </si>
  <si>
    <t>FER0024</t>
  </si>
  <si>
    <t xml:space="preserve">SIST. AVENTOS HL C/ BLUMOTION </t>
  </si>
  <si>
    <t>FER0025</t>
  </si>
  <si>
    <t xml:space="preserve">GAVETA ANTARO CINZA 30KG 500 (K)         </t>
  </si>
  <si>
    <t>FER0026</t>
  </si>
  <si>
    <t xml:space="preserve">GAVETAO ANTARO CINZA 65KG 500 (D)         </t>
  </si>
  <si>
    <t>FER0027</t>
  </si>
  <si>
    <t xml:space="preserve">GAVETA INTERNA ANTARO CINZA 30KG 500 (M)         </t>
  </si>
  <si>
    <t>FER0028</t>
  </si>
  <si>
    <t>GAVETA VERTEX H93 40Kg (500MM)</t>
  </si>
  <si>
    <t>FER0029</t>
  </si>
  <si>
    <t>GAVETA VERTEX H178 40Kg (500MM)</t>
  </si>
  <si>
    <t>FER0030</t>
  </si>
  <si>
    <t>GAVETA VERTEX H131 40Kg (500MM)</t>
  </si>
  <si>
    <t>FER0031</t>
  </si>
  <si>
    <t xml:space="preserve">CABO DISTRIBUIDOR Y PROLINE V1                                                  </t>
  </si>
  <si>
    <t>ILUMINACAO</t>
  </si>
  <si>
    <t>FER0032</t>
  </si>
  <si>
    <t>CALHA LED EMBUTIR GLAXNKKT 15X6 COM DIFUSOR (3000MM)</t>
  </si>
  <si>
    <t>GTV</t>
  </si>
  <si>
    <t>FER0033</t>
  </si>
  <si>
    <t xml:space="preserve">CABO ALIMENTACAO EFLEX BR 2PIN EURO 2MT     </t>
  </si>
  <si>
    <t>ARTIMOL</t>
  </si>
  <si>
    <t>FER0034</t>
  </si>
  <si>
    <t xml:space="preserve">SENSOR DIMMER DUO S40 60W 12/14V PRETO          </t>
  </si>
  <si>
    <t>FER0035</t>
  </si>
  <si>
    <t>ROLO LED EFLEX 4000K NEUTRO 50 MT</t>
  </si>
  <si>
    <t>FER0036</t>
  </si>
  <si>
    <t xml:space="preserve">FITA LED EFLEX 5MM LARG 6000K         </t>
  </si>
  <si>
    <t>FER0037</t>
  </si>
  <si>
    <t xml:space="preserve">FITA LED CONTINUO C/CHICOTE LINESLIM XS5 9W 24V 4000/6000K      </t>
  </si>
  <si>
    <t>ESSANI</t>
  </si>
  <si>
    <t>FER0038</t>
  </si>
  <si>
    <t xml:space="preserve">SENSOR MOVIMENTO S41 CROMADO       </t>
  </si>
  <si>
    <t>FER0039</t>
  </si>
  <si>
    <t xml:space="preserve">TRANSFORMADOR PROLINE 36W 24V     </t>
  </si>
  <si>
    <t>FER0040</t>
  </si>
  <si>
    <t xml:space="preserve">TRANSFORMADOR PROLINE 120W 24V       </t>
  </si>
  <si>
    <t>FER0041</t>
  </si>
  <si>
    <t xml:space="preserve">TRANSFORMADOR PROLINE 60W 24V            </t>
  </si>
  <si>
    <t>FER0042</t>
  </si>
  <si>
    <t>ROUPEIROS CORRER</t>
  </si>
  <si>
    <t>ALUMINIO</t>
  </si>
  <si>
    <t>FER0043</t>
  </si>
  <si>
    <t>PRETO</t>
  </si>
  <si>
    <t>FER0044</t>
  </si>
  <si>
    <t>FER0045</t>
  </si>
  <si>
    <t>FER0046</t>
  </si>
  <si>
    <t>FER0047</t>
  </si>
  <si>
    <t>FER0048</t>
  </si>
  <si>
    <t>FER0049</t>
  </si>
  <si>
    <t>CALHA ROUP PUX CURVA ACENTUADA CROMADO MATE 5 MT</t>
  </si>
  <si>
    <t>FER0050</t>
  </si>
  <si>
    <t>FER0051</t>
  </si>
  <si>
    <t>FER0052</t>
  </si>
  <si>
    <t>FER0053</t>
  </si>
  <si>
    <t>FER0054</t>
  </si>
  <si>
    <t>FER0055</t>
  </si>
  <si>
    <t>AMORTECEDOR P/ PORTA CORRER SLOWMOVE 50KG</t>
  </si>
  <si>
    <t>FER0056</t>
  </si>
  <si>
    <t>RODIZIOS INF. RODA MACHO FINA</t>
  </si>
  <si>
    <t>FER0057</t>
  </si>
  <si>
    <t xml:space="preserve">RODIZIO RODA SEM TRAVAO D29    </t>
  </si>
  <si>
    <t>FER0058</t>
  </si>
  <si>
    <t>PE NIVELADOR AXILO H55-75 + BASE</t>
  </si>
  <si>
    <t>PES</t>
  </si>
  <si>
    <t>HAFELE</t>
  </si>
  <si>
    <t>FER0059</t>
  </si>
  <si>
    <t>PE NIVELADOR BONE H100-120 + BASE</t>
  </si>
  <si>
    <t>FER0060</t>
  </si>
  <si>
    <t>PE NIVELADOR BONE H120-150 + BASE</t>
  </si>
  <si>
    <t>FER0061</t>
  </si>
  <si>
    <t>PE NIVELADOR Ø48 H45</t>
  </si>
  <si>
    <t>FER0062</t>
  </si>
  <si>
    <t>GRAMPA MONTAGEM RODAPE</t>
  </si>
  <si>
    <t>FER0063</t>
  </si>
  <si>
    <t xml:space="preserve">CANTO RODAPE PRETO H120    </t>
  </si>
  <si>
    <t>FER0064</t>
  </si>
  <si>
    <t>CANTO RODAPE ALUMINIO H150</t>
  </si>
  <si>
    <t>FER0065</t>
  </si>
  <si>
    <t>RODAPE PVC ALUMINIO H120MM cor anodizado satinado</t>
  </si>
  <si>
    <t>RODAPE</t>
  </si>
  <si>
    <t>FER0066</t>
  </si>
  <si>
    <t xml:space="preserve">RODAPE PVC BRC/PRT H120MM </t>
  </si>
  <si>
    <t>FER0067</t>
  </si>
  <si>
    <t xml:space="preserve">RESGUARDO MBLL ABS MOD 1000 (16)     </t>
  </si>
  <si>
    <t>FER0068</t>
  </si>
  <si>
    <t xml:space="preserve">RESGUARDO MBLL ABS MOD 900 (16)     </t>
  </si>
  <si>
    <t>FER0069</t>
  </si>
  <si>
    <t xml:space="preserve">RESGUARDO MBLL ABS MOD 800 (16)     </t>
  </si>
  <si>
    <t>ACESSORIOS</t>
  </si>
  <si>
    <t>FER0070</t>
  </si>
  <si>
    <t xml:space="preserve">RESGUARDO MBLL ABS MOD 600 (16)     </t>
  </si>
  <si>
    <t>FER0071</t>
  </si>
  <si>
    <t xml:space="preserve">BASE FRIGORIFICO PLASTICO MOD 600MM   </t>
  </si>
  <si>
    <t>FER0072</t>
  </si>
  <si>
    <t>NIVELADOR OCULTO DIR+ESQ (CONJ)</t>
  </si>
  <si>
    <t>FER0073</t>
  </si>
  <si>
    <t>FER0074</t>
  </si>
  <si>
    <t>FER0075</t>
  </si>
  <si>
    <t>GRELHA VENTILAÇÃO P/ FORNO 600MM</t>
  </si>
  <si>
    <t>FER0076</t>
  </si>
  <si>
    <t>GRELHA VENTILAÇÃO RODAPÉ 450MM</t>
  </si>
  <si>
    <t>FER0077</t>
  </si>
  <si>
    <t>ESPELHO (4MM)</t>
  </si>
  <si>
    <t>VIDRO</t>
  </si>
  <si>
    <t>ENTROVIDRO</t>
  </si>
  <si>
    <t>FER0078</t>
  </si>
  <si>
    <t>VIDRO INCOLOR (6MM)</t>
  </si>
  <si>
    <t>FER0079</t>
  </si>
  <si>
    <t>VIDRO INCOLOR (8MM)</t>
  </si>
  <si>
    <t>FER0080</t>
  </si>
  <si>
    <t>VIDRO FOSCO (6MM)</t>
  </si>
  <si>
    <t>FER0081</t>
  </si>
  <si>
    <t>VIDRO FOSCO (10MM)</t>
  </si>
  <si>
    <t>FER0082</t>
  </si>
  <si>
    <t>VIDRO TEMPERADO (6MM)</t>
  </si>
  <si>
    <t>FER0083</t>
  </si>
  <si>
    <t>VIDRO TEMPERADO (8MM)</t>
  </si>
  <si>
    <t>FER0084</t>
  </si>
  <si>
    <t>VIDRO LAMINADO (4+4MM)</t>
  </si>
  <si>
    <t>FER0085</t>
  </si>
  <si>
    <t>ORLA/ARESTA VIDRO/ESPELHO</t>
  </si>
  <si>
    <t>FER0086</t>
  </si>
  <si>
    <t>SUPORTE PRATELEIRA ENGATE</t>
  </si>
  <si>
    <t>SUPORTE VARAO</t>
  </si>
  <si>
    <t>FER0087</t>
  </si>
  <si>
    <t>SUPORTE PRATELEIRA Ø 5MM C/ BORRACHA</t>
  </si>
  <si>
    <t>SUPORTE PRATELEIRA</t>
  </si>
  <si>
    <t>FER0088</t>
  </si>
  <si>
    <t>SUPORTE TRIADE</t>
  </si>
  <si>
    <t>INTERFER</t>
  </si>
  <si>
    <t xml:space="preserve">ITALIANA </t>
  </si>
  <si>
    <t>FER0089</t>
  </si>
  <si>
    <t xml:space="preserve">SUPORTE VARAO ROUPEIRO F233   </t>
  </si>
  <si>
    <t>FER0090</t>
  </si>
  <si>
    <t>SUPORTE LATERAL VARAO ROUPEIRO PRETO (SILK)</t>
  </si>
  <si>
    <t>FER0091</t>
  </si>
  <si>
    <t xml:space="preserve">SUPORTE CENTRAL VARAO ROUPEIRO         </t>
  </si>
  <si>
    <t>FER0092</t>
  </si>
  <si>
    <t xml:space="preserve">VARAO ROUPEIRO SILK PRETO      </t>
  </si>
  <si>
    <t>SPP</t>
  </si>
  <si>
    <t>FER0093</t>
  </si>
  <si>
    <t xml:space="preserve">VARAO ROUPEIRO ESTRIADO ADONIZADO MATE 5 MT </t>
  </si>
  <si>
    <t>FER0094</t>
  </si>
  <si>
    <t>VARAO TROMBONE EXTRAIVEL 400MM</t>
  </si>
  <si>
    <t>FER0095</t>
  </si>
  <si>
    <t>PASSA CABOS TAMPA CIRCULAR Ø60MM</t>
  </si>
  <si>
    <t>FER0096</t>
  </si>
  <si>
    <t>FUNDO VELUDO (GAVETAS)</t>
  </si>
  <si>
    <t>FER0097</t>
  </si>
  <si>
    <t>PERFIL GOLA "C" VERTICAL ALUM/PRETO/BRANCO</t>
  </si>
  <si>
    <t>PUXADOR</t>
  </si>
  <si>
    <t>FEBOL</t>
  </si>
  <si>
    <t>FER0098</t>
  </si>
  <si>
    <t>PERFIL GOLA "J" ALUM/PRETO/BRANCO</t>
  </si>
  <si>
    <t>FER0099</t>
  </si>
  <si>
    <t>PERFIL GOLA "C" ALUM/PRETO/BRANCO</t>
  </si>
  <si>
    <t>FER0100</t>
  </si>
  <si>
    <t>TAMPA PERFIL GOLA</t>
  </si>
  <si>
    <t>FER0101</t>
  </si>
  <si>
    <t>FIXADOR LATERAL PERFIL GOLA "J"</t>
  </si>
  <si>
    <t>FER0102</t>
  </si>
  <si>
    <t>FIXADOR PROLONGADOR PERFIL GOLA "J"</t>
  </si>
  <si>
    <t>FER0103</t>
  </si>
  <si>
    <t>PUXADOR "J" FRESADO</t>
  </si>
  <si>
    <t>LE</t>
  </si>
  <si>
    <t>FER0104</t>
  </si>
  <si>
    <t>PUXADOR CILINDRO ZAMAK Ø 20MM</t>
  </si>
  <si>
    <t>FER0105</t>
  </si>
  <si>
    <t>FECHO TIC-TAC K-PUSH TECH LARGO GOMA STRONG + BASE</t>
  </si>
  <si>
    <t>MAELGA</t>
  </si>
  <si>
    <t>FER0106</t>
  </si>
  <si>
    <t>FERRAGENS DIVERSAS</t>
  </si>
  <si>
    <t>FER0107</t>
  </si>
  <si>
    <t>FERRAGEM LIVRE</t>
  </si>
  <si>
    <t>FER0108</t>
  </si>
  <si>
    <t>FER0109</t>
  </si>
  <si>
    <t>FER0110</t>
  </si>
  <si>
    <t>FER0111</t>
  </si>
  <si>
    <t>FER0112</t>
  </si>
  <si>
    <t>FER0113</t>
  </si>
  <si>
    <t>FER0114</t>
  </si>
  <si>
    <t>FER0115</t>
  </si>
  <si>
    <t>FER0116</t>
  </si>
  <si>
    <t>FER0117</t>
  </si>
  <si>
    <t>FER0118</t>
  </si>
  <si>
    <t>CALHA INF. RODA MACHO FINA - PLACARD - ANODIZ/BRANCO (3,9m)</t>
  </si>
  <si>
    <t>CALHA INF. RODA MACHO FINA - PLACARD - PRETO (3,9m)</t>
  </si>
  <si>
    <t>CALHA INF. RODA MACHO FINA - PLACARD - PRETO (2,35m)</t>
  </si>
  <si>
    <t>CALHA PUX. PORTA CORRER - SHARP 16 - PRETO (2,35m)</t>
  </si>
  <si>
    <t>CALHA PUX. PORTA CORRER - SHARP 16 - PRETO (2,7m)</t>
  </si>
  <si>
    <t>CALHA PUX. PORTA CORRER - WAVE 16 -  ANODIZ. (2,35m)</t>
  </si>
  <si>
    <t>CALHA PUX. PORTA CORRER - WAVE 16 -  ANODIZ./BRANCO (2,7m)</t>
  </si>
  <si>
    <t>CALHA SUP. SLOWMOVE - PLACAR 81 - ANODIZ./BRANCO  (2,35m)</t>
  </si>
  <si>
    <t>CALHA SUP. SLOWMOVE - PLACAR 81 - PRETO  (2,35m)</t>
  </si>
  <si>
    <t>CALHA SUP. SLOWMOVE - PLACAR 81 - ANODIZ./BRANCO  (3,9m)</t>
  </si>
  <si>
    <t>CALHA SUP. SLOWMOVE - PLACAR 81 - PRETO (3,9m)</t>
  </si>
  <si>
    <t>CALHA U PORTAS CORRER U16X14 - ANODIZ./BRC/PRT (2,35m)</t>
  </si>
  <si>
    <t>BARRA ALBEAM2 ALUM. MATE</t>
  </si>
  <si>
    <t>SUPORTE ALBEAM2 ALUM. MATE</t>
  </si>
  <si>
    <t>BÉTULA</t>
  </si>
  <si>
    <t>CEREJEIRA</t>
  </si>
  <si>
    <t>EUCALIPTO</t>
  </si>
  <si>
    <t>FREIXO</t>
  </si>
  <si>
    <t>KAMBALA</t>
  </si>
  <si>
    <t>MAPLE/ERABLE</t>
  </si>
  <si>
    <t>MONGNO</t>
  </si>
  <si>
    <t>PINHO</t>
  </si>
  <si>
    <t>ANODIZ/BRANCO</t>
  </si>
  <si>
    <t>ANODIZADO</t>
  </si>
  <si>
    <t>BRANCO/PRETO</t>
  </si>
  <si>
    <t>ABS</t>
  </si>
  <si>
    <t>PLASTICO</t>
  </si>
  <si>
    <t>ALUM/PRETO/BRANCO</t>
  </si>
  <si>
    <t>ZAMAK</t>
  </si>
  <si>
    <t>FM00081</t>
  </si>
  <si>
    <t>B3822 MA</t>
  </si>
  <si>
    <t>FM00801</t>
  </si>
  <si>
    <t>MDF MR MLM BRANCA B3822/MA  10MM</t>
  </si>
  <si>
    <t>FM00841</t>
  </si>
  <si>
    <t>MDF MR MLM BRANCA B3822/MA  30MM</t>
  </si>
  <si>
    <t>PLC0108</t>
  </si>
  <si>
    <t>PLC0109</t>
  </si>
  <si>
    <t>1000.0002.0036</t>
  </si>
  <si>
    <t>FF00588</t>
  </si>
  <si>
    <t>FITA LED EFLEX 8MM 12V 3000K</t>
  </si>
  <si>
    <t>EAFT.006.003-1-V1</t>
  </si>
  <si>
    <t>CABO EXTENSOR PROLINE 26G 1800MM</t>
  </si>
  <si>
    <t>INTERRUPTOR TOUCH DIMMER S3 CROMADO</t>
  </si>
  <si>
    <t>ES3.60-V2-F2</t>
  </si>
  <si>
    <t>CROMADO</t>
  </si>
  <si>
    <t>SENSOR MOVIMENTO DE PORTA DUPLA OU PORTA SIMPLES</t>
  </si>
  <si>
    <t>SENSOR AO TOQUE ON/OFF &amp; DIMMER COM LUZ DE PRESENÇA</t>
  </si>
  <si>
    <t>SENSOR AO TOQUE ON/OFF &amp; DIMMER</t>
  </si>
  <si>
    <t>´</t>
  </si>
  <si>
    <t>FF01824</t>
  </si>
  <si>
    <t>FF01085</t>
  </si>
  <si>
    <t>FF01825</t>
  </si>
  <si>
    <t>FF01358</t>
  </si>
  <si>
    <t>INTERRUPTOR TOUCH DIMMER 15 CROMADO</t>
  </si>
  <si>
    <t>FER0119</t>
  </si>
  <si>
    <t>FER0120</t>
  </si>
  <si>
    <t>FER0121</t>
  </si>
  <si>
    <t>FER0122</t>
  </si>
  <si>
    <t xml:space="preserve">FF00181     </t>
  </si>
  <si>
    <t>CALHA ROUP INF MACHO FINA/MONOCARRIL CROMADO MATE 2 MT</t>
  </si>
  <si>
    <t>CALHA ROUP INF MACHO FINA/MONOCARRIL CROMADO MATE 4 MT</t>
  </si>
  <si>
    <t>FF00055</t>
  </si>
  <si>
    <t>FF00896</t>
  </si>
  <si>
    <t>CALHA ROUP INF MACHO FINA/MONOCARRIL BRANCO 2 MT</t>
  </si>
  <si>
    <t>CALHA ROUP INF MACHO FINA/MONOCARRIL BRANCO 4 MT</t>
  </si>
  <si>
    <t>FF00004</t>
  </si>
  <si>
    <t>FF00897</t>
  </si>
  <si>
    <t>FER0123</t>
  </si>
  <si>
    <t>FER0124</t>
  </si>
  <si>
    <t>FER0125</t>
  </si>
  <si>
    <t>FER0126</t>
  </si>
  <si>
    <t>ES15.60-V2-F3</t>
  </si>
  <si>
    <t>MARGEM</t>
  </si>
  <si>
    <t>DESCONTO</t>
  </si>
  <si>
    <t>ORL_0.4</t>
  </si>
  <si>
    <t>ORL_1.0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</si>
</sst>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/>
  </cellStyleXfs>
  <cellXfs count="28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164" fontId="3" fillId="0" borderId="0" xfId="0" applyNumberFormat="1" applyFont="1" applyProtection="1">
      <protection locked="0"/>
    </xf>
    <xf numFmtId="9" fontId="3" fillId="0" borderId="0" xfId="0" applyNumberFormat="1" applyFont="1" applyProtection="1">
      <protection locked="0"/>
    </xf>
    <xf numFmtId="9" fontId="3" fillId="0" borderId="0" xfId="1" applyFont="1" applyProtection="1">
      <protection locked="0"/>
    </xf>
    <xf numFmtId="14" fontId="3" fillId="0" borderId="0" xfId="0" applyNumberFormat="1" applyFont="1" applyProtection="1">
      <protection locked="0"/>
    </xf>
    <xf numFmtId="164" fontId="2" fillId="0" borderId="0" xfId="0" applyNumberFormat="1" applyFont="1" applyProtection="1">
      <protection locked="0"/>
    </xf>
    <xf numFmtId="9" fontId="2" fillId="0" borderId="0" xfId="0" applyNumberFormat="1" applyFont="1" applyProtection="1">
      <protection locked="0"/>
    </xf>
    <xf numFmtId="9" fontId="2" fillId="0" borderId="0" xfId="1" applyFont="1" applyProtection="1">
      <protection locked="0"/>
    </xf>
    <xf numFmtId="0" fontId="2" fillId="0" borderId="0" xfId="0" applyFont="1" applyProtection="1">
      <protection locked="0"/>
    </xf>
    <xf numFmtId="164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164" fontId="0" fillId="0" borderId="0" xfId="0" applyNumberFormat="1"/>
    <xf numFmtId="9" fontId="0" fillId="0" borderId="0" xfId="0" applyNumberFormat="1"/>
    <xf numFmtId="1" fontId="0" fillId="0" borderId="0" xfId="0" applyNumberFormat="1"/>
    <xf numFmtId="14" fontId="0" fillId="0" borderId="0" xfId="0" applyNumberFormat="1"/>
    <xf numFmtId="0" fontId="3" fillId="0" borderId="0" xfId="0" quotePrefix="1" applyFont="1" applyProtection="1">
      <protection locked="0"/>
    </xf>
    <xf numFmtId="164" fontId="0" fillId="0" borderId="0" xfId="0" applyNumberFormat="1" applyAlignment="1">
      <alignment horizontal="center" vertical="center" wrapText="1"/>
    </xf>
    <xf numFmtId="164" fontId="2" fillId="0" borderId="0" xfId="0" applyNumberFormat="1" applyFont="1"/>
    <xf numFmtId="164" fontId="3" fillId="0" borderId="0" xfId="0" applyNumberFormat="1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1" fontId="3" fillId="0" borderId="0" xfId="0" applyNumberFormat="1" applyFont="1"/>
  </cellXfs>
  <cellStyles count="2">
    <cellStyle name="Normal" xfId="0" builtinId="0"/>
    <cellStyle name="Percentagem" xfId="1" builtinId="5"/>
  </cellStyles>
  <dxfs count="10"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</dxf>
    <dxf>
      <numFmt numFmtId="19" formatCode="dd/mm/yyyy"/>
    </dxf>
    <dxf>
      <numFmt numFmtId="1" formatCode="0"/>
    </dxf>
    <dxf>
      <numFmt numFmtId="13" formatCode="0%"/>
    </dxf>
    <dxf>
      <numFmt numFmtId="164" formatCode="#,##0.00\ &quot;€&quot;"/>
    </dxf>
    <dxf>
      <numFmt numFmtId="13" formatCode="0%"/>
    </dxf>
    <dxf>
      <numFmt numFmtId="13" formatCode="0%"/>
    </dxf>
    <dxf>
      <numFmt numFmtId="164" formatCode="#,##0.00\ &quot;€&quot;"/>
    </dxf>
    <dxf>
      <alignment horizontal="center" vertic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161925</xdr:rowOff>
    </xdr:from>
    <xdr:to>
      <xdr:col>9</xdr:col>
      <xdr:colOff>676275</xdr:colOff>
      <xdr:row>2</xdr:row>
      <xdr:rowOff>133350</xdr:rowOff>
    </xdr:to>
    <xdr:sp macro="[0]!Atualizar_ID_e_Ref.Atualizar_ID_e_Re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8EFD6EB-43C2-D952-C25F-88212F645DC9}"/>
            </a:ext>
          </a:extLst>
        </xdr:cNvPr>
        <xdr:cNvSpPr/>
      </xdr:nvSpPr>
      <xdr:spPr>
        <a:xfrm>
          <a:off x="13030200" y="161925"/>
          <a:ext cx="1504950" cy="352425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Atualizar</a:t>
          </a:r>
          <a:r>
            <a:rPr lang="pt-PT" sz="12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Ref_LE</a:t>
          </a:r>
          <a:endParaRPr lang="pt-PT" sz="12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Materias_Primas" displayName="Tab_Materias_Primas" ref="A5:AC272" totalsRowShown="0" headerRowDxfId="9">
  <autoFilter ref="A5:AC272" xr:uid="{00000000-0009-0000-0100-000001000000}"/>
  <sortState xmlns:xlrd2="http://schemas.microsoft.com/office/spreadsheetml/2017/richdata2" ref="A6:AC272">
    <sortCondition ref="F5:F272"/>
  </sortState>
  <tableColumns count="29">
    <tableColumn id="1" xr3:uid="{00000000-0010-0000-0000-000001000000}" name="ID_MP"/>
    <tableColumn id="2" xr3:uid="{00000000-0010-0000-0000-000002000000}" name="REF_PHC"/>
    <tableColumn id="3" xr3:uid="{00000000-0010-0000-0000-000003000000}" name="REF_FORNECEDOR"/>
    <tableColumn id="8" xr3:uid="{00000000-0010-0000-0000-000008000000}" name="Ref_LE"/>
    <tableColumn id="4" xr3:uid="{00000000-0010-0000-0000-000004000000}" name="DESCRICAO_do_PHC"/>
    <tableColumn id="23" xr3:uid="{00000000-0010-0000-0000-000017000000}" name="DESCRICAO_no_ORCAMENTO"/>
    <tableColumn id="5" xr3:uid="{00000000-0010-0000-0000-000005000000}" name="PRECO_TABELA" dataDxfId="8"/>
    <tableColumn id="6" xr3:uid="{00000000-0010-0000-0000-000006000000}" name="MARGEM" dataDxfId="7"/>
    <tableColumn id="7" xr3:uid="{00000000-0010-0000-0000-000007000000}" name="DESCONTO" dataDxfId="6"/>
    <tableColumn id="9" xr3:uid="{00000000-0010-0000-0000-000009000000}" name="PLIQ" dataDxfId="5">
      <calculatedColumnFormula>G6*(1-I6)*(1+H6)</calculatedColumnFormula>
    </tableColumn>
    <tableColumn id="10" xr3:uid="{00000000-0010-0000-0000-00000A000000}" name="UND"/>
    <tableColumn id="11" xr3:uid="{00000000-0010-0000-0000-00000B000000}" name="DESP" dataDxfId="4"/>
    <tableColumn id="19" xr3:uid="{64C61A57-FC1F-482F-9A36-D939B35DAB75}" name="COMP_MP" dataDxfId="0"/>
    <tableColumn id="13" xr3:uid="{0DE6E6AB-CD70-4C10-8226-0AE5FBC284ED}" name="LARG_MP" dataDxfId="1"/>
    <tableColumn id="12" xr3:uid="{00000000-0010-0000-0000-00000C000000}" name="ESP_MP" dataDxfId="3"/>
    <tableColumn id="14" xr3:uid="{00000000-0010-0000-0000-00000E000000}" name="TIPO"/>
    <tableColumn id="31" xr3:uid="{00000000-0010-0000-0000-00001F000000}" name="FAMILIA"/>
    <tableColumn id="15" xr3:uid="{00000000-0010-0000-0000-00000F000000}" name="COR"/>
    <tableColumn id="30" xr3:uid="{00000000-0010-0000-0000-00001E000000}" name="ORL_0.4"/>
    <tableColumn id="29" xr3:uid="{00000000-0010-0000-0000-00001D000000}" name="ORL_1.0"/>
    <tableColumn id="16" xr3:uid="{00000000-0010-0000-0000-000010000000}" name="COR_REF_MATERIAL"/>
    <tableColumn id="20" xr3:uid="{00000000-0010-0000-0000-000014000000}" name="NOME_FORNECEDOR"/>
    <tableColumn id="28" xr3:uid="{00000000-0010-0000-0000-00001C000000}" name="NOME_FABRICANTE"/>
    <tableColumn id="21" xr3:uid="{00000000-0010-0000-0000-000015000000}" name="DATA_ULTIMO_PRECO" dataDxfId="2"/>
    <tableColumn id="22" xr3:uid="{00000000-0010-0000-0000-000016000000}" name="APLICACAO"/>
    <tableColumn id="24" xr3:uid="{00000000-0010-0000-0000-000018000000}" name="STOCK"/>
    <tableColumn id="25" xr3:uid="{00000000-0010-0000-0000-000019000000}" name="NOTAS_2"/>
    <tableColumn id="26" xr3:uid="{00000000-0010-0000-0000-00001A000000}" name="NOTAS_3"/>
    <tableColumn id="27" xr3:uid="{00000000-0010-0000-0000-00001B000000}" name="NOTAS_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5:AC272"/>
  <sheetViews>
    <sheetView tabSelected="1" zoomScaleNormal="100" workbookViewId="0">
      <pane ySplit="5" topLeftCell="A6" activePane="bottomLeft" state="frozen"/>
      <selection pane="bottomLeft" activeCell="T6" sqref="T6"/>
    </sheetView>
  </sheetViews>
  <sheetFormatPr defaultRowHeight="15" x14ac:dyDescent="0.25"/>
  <cols>
    <col min="2" max="2" width="9.140625" customWidth="1"/>
    <col min="3" max="4" width="21.7109375" customWidth="1"/>
    <col min="5" max="5" width="19.7109375" customWidth="1"/>
    <col min="6" max="6" width="83.5703125" customWidth="1"/>
    <col min="7" max="7" width="15" style="17" customWidth="1"/>
    <col min="8" max="8" width="14.7109375" customWidth="1"/>
    <col min="9" max="9" width="13.140625" customWidth="1"/>
    <col min="10" max="10" width="12.7109375" customWidth="1"/>
    <col min="11" max="11" width="9.140625" customWidth="1"/>
    <col min="12" max="12" width="7.42578125" customWidth="1"/>
    <col min="13" max="13" width="16.7109375" style="2" customWidth="1"/>
    <col min="14" max="14" width="9.140625" customWidth="1"/>
    <col min="15" max="15" width="16.140625" bestFit="1" customWidth="1"/>
    <col min="16" max="18" width="13.7109375" customWidth="1"/>
    <col min="19" max="19" width="18.28515625" customWidth="1"/>
    <col min="20" max="20" width="23" customWidth="1"/>
    <col min="21" max="21" width="20.140625" customWidth="1"/>
    <col min="22" max="22" width="15.42578125" customWidth="1"/>
    <col min="23" max="23" width="20" customWidth="1"/>
    <col min="24" max="24" width="28" customWidth="1"/>
    <col min="25" max="26" width="13.5703125" customWidth="1"/>
  </cols>
  <sheetData>
    <row r="5" spans="1:29" s="2" customFormat="1" ht="30" customHeight="1" x14ac:dyDescent="0.25">
      <c r="A5" s="2" t="s">
        <v>0</v>
      </c>
      <c r="B5" s="1" t="s">
        <v>1</v>
      </c>
      <c r="C5" s="1" t="s">
        <v>2</v>
      </c>
      <c r="D5" s="1" t="s">
        <v>3</v>
      </c>
      <c r="E5" s="2" t="s">
        <v>4</v>
      </c>
      <c r="F5" s="2" t="s">
        <v>5</v>
      </c>
      <c r="G5" s="22" t="s">
        <v>6</v>
      </c>
      <c r="H5" s="2" t="s">
        <v>644</v>
      </c>
      <c r="I5" s="2" t="s">
        <v>645</v>
      </c>
      <c r="J5" s="2" t="s">
        <v>7</v>
      </c>
      <c r="K5" s="2" t="s">
        <v>8</v>
      </c>
      <c r="L5" s="2" t="s">
        <v>9</v>
      </c>
      <c r="M5" s="1" t="s">
        <v>15</v>
      </c>
      <c r="N5" s="1" t="s">
        <v>16</v>
      </c>
      <c r="O5" s="2" t="s">
        <v>10</v>
      </c>
      <c r="P5" s="2" t="s">
        <v>11</v>
      </c>
      <c r="Q5" s="2" t="s">
        <v>12</v>
      </c>
      <c r="R5" s="1" t="s">
        <v>13</v>
      </c>
      <c r="S5" s="1" t="s">
        <v>646</v>
      </c>
      <c r="T5" s="1" t="s">
        <v>647</v>
      </c>
      <c r="U5" s="1" t="s">
        <v>14</v>
      </c>
      <c r="V5" s="1" t="s">
        <v>17</v>
      </c>
      <c r="W5" s="1" t="s">
        <v>18</v>
      </c>
      <c r="X5" s="1" t="s">
        <v>19</v>
      </c>
      <c r="Y5" s="2" t="s">
        <v>20</v>
      </c>
      <c r="Z5" s="1" t="s">
        <v>21</v>
      </c>
      <c r="AA5" s="1" t="s">
        <v>22</v>
      </c>
      <c r="AB5" s="1" t="s">
        <v>23</v>
      </c>
      <c r="AC5" s="1" t="s">
        <v>24</v>
      </c>
    </row>
    <row r="6" spans="1:29" s="4" customFormat="1" x14ac:dyDescent="0.25">
      <c r="A6" s="5">
        <v>1</v>
      </c>
      <c r="C6" t="s">
        <v>60</v>
      </c>
      <c r="D6" t="s">
        <v>61</v>
      </c>
      <c r="F6" t="s">
        <v>62</v>
      </c>
      <c r="G6" s="17">
        <v>24.34</v>
      </c>
      <c r="H6" s="8"/>
      <c r="I6" s="8">
        <v>0.2</v>
      </c>
      <c r="J6" s="7">
        <f t="shared" ref="J6:J69" si="0">G6*(1-I6)*(1+H6)</f>
        <v>19.472000000000001</v>
      </c>
      <c r="K6" s="5" t="s">
        <v>27</v>
      </c>
      <c r="L6" s="9">
        <v>0.2</v>
      </c>
      <c r="M6">
        <v>2750</v>
      </c>
      <c r="N6">
        <v>1830</v>
      </c>
      <c r="O6">
        <v>19</v>
      </c>
      <c r="P6" t="s">
        <v>63</v>
      </c>
      <c r="Q6" t="s">
        <v>64</v>
      </c>
      <c r="R6" t="s">
        <v>586</v>
      </c>
      <c r="S6" t="s">
        <v>165</v>
      </c>
      <c r="T6" t="s">
        <v>166</v>
      </c>
      <c r="V6" t="s">
        <v>68</v>
      </c>
      <c r="W6" t="s">
        <v>68</v>
      </c>
      <c r="X6" s="10">
        <v>45861</v>
      </c>
      <c r="Y6" s="6"/>
      <c r="Z6" s="5">
        <v>1</v>
      </c>
      <c r="AA6" s="6"/>
      <c r="AB6" s="6"/>
      <c r="AC6" s="6"/>
    </row>
    <row r="7" spans="1:29" s="4" customFormat="1" x14ac:dyDescent="0.25">
      <c r="A7" s="5">
        <v>2</v>
      </c>
      <c r="C7" t="s">
        <v>60</v>
      </c>
      <c r="D7" t="s">
        <v>69</v>
      </c>
      <c r="F7" t="s">
        <v>70</v>
      </c>
      <c r="G7" s="17">
        <v>29.68</v>
      </c>
      <c r="H7" s="8"/>
      <c r="I7" s="8">
        <v>0.2</v>
      </c>
      <c r="J7" s="7">
        <f t="shared" si="0"/>
        <v>23.744</v>
      </c>
      <c r="K7" s="5" t="s">
        <v>27</v>
      </c>
      <c r="L7" s="9">
        <v>0.2</v>
      </c>
      <c r="M7">
        <v>2750</v>
      </c>
      <c r="N7">
        <v>1830</v>
      </c>
      <c r="O7">
        <v>19</v>
      </c>
      <c r="P7" t="s">
        <v>63</v>
      </c>
      <c r="Q7" t="s">
        <v>64</v>
      </c>
      <c r="R7" t="s">
        <v>65</v>
      </c>
      <c r="S7" t="s">
        <v>165</v>
      </c>
      <c r="T7" t="s">
        <v>166</v>
      </c>
      <c r="V7" t="s">
        <v>68</v>
      </c>
      <c r="W7" t="s">
        <v>68</v>
      </c>
      <c r="X7" s="10">
        <v>45861</v>
      </c>
      <c r="Y7" s="6"/>
      <c r="Z7" s="5">
        <v>1</v>
      </c>
      <c r="AA7" s="6"/>
      <c r="AB7" s="6"/>
      <c r="AC7" s="6"/>
    </row>
    <row r="8" spans="1:29" s="4" customFormat="1" x14ac:dyDescent="0.25">
      <c r="A8" s="5">
        <v>3</v>
      </c>
      <c r="C8" t="s">
        <v>60</v>
      </c>
      <c r="D8" t="s">
        <v>71</v>
      </c>
      <c r="F8" t="s">
        <v>72</v>
      </c>
      <c r="G8" s="17">
        <v>33.520000000000003</v>
      </c>
      <c r="H8" s="8"/>
      <c r="I8" s="8">
        <v>0.2</v>
      </c>
      <c r="J8" s="7">
        <f t="shared" si="0"/>
        <v>26.816000000000003</v>
      </c>
      <c r="K8" s="5" t="s">
        <v>27</v>
      </c>
      <c r="L8" s="9">
        <v>0.2</v>
      </c>
      <c r="M8">
        <v>2750</v>
      </c>
      <c r="N8">
        <v>1830</v>
      </c>
      <c r="O8">
        <v>19</v>
      </c>
      <c r="P8" t="s">
        <v>63</v>
      </c>
      <c r="Q8" t="s">
        <v>64</v>
      </c>
      <c r="R8" t="s">
        <v>65</v>
      </c>
      <c r="S8" t="s">
        <v>165</v>
      </c>
      <c r="T8" t="s">
        <v>166</v>
      </c>
      <c r="V8" t="s">
        <v>68</v>
      </c>
      <c r="W8" t="s">
        <v>68</v>
      </c>
      <c r="X8" s="10">
        <v>45861</v>
      </c>
      <c r="Y8" s="6"/>
      <c r="Z8" s="5">
        <v>1</v>
      </c>
      <c r="AA8" s="6"/>
      <c r="AB8" s="6"/>
      <c r="AC8" s="6"/>
    </row>
    <row r="9" spans="1:29" s="4" customFormat="1" x14ac:dyDescent="0.25">
      <c r="A9" s="5">
        <v>4</v>
      </c>
      <c r="C9" t="s">
        <v>60</v>
      </c>
      <c r="D9" t="s">
        <v>73</v>
      </c>
      <c r="F9" t="s">
        <v>74</v>
      </c>
      <c r="G9" s="17">
        <v>29.91</v>
      </c>
      <c r="H9" s="8"/>
      <c r="I9" s="8">
        <v>0.2</v>
      </c>
      <c r="J9" s="7">
        <f t="shared" si="0"/>
        <v>23.928000000000001</v>
      </c>
      <c r="K9" s="5" t="s">
        <v>27</v>
      </c>
      <c r="L9" s="9">
        <v>0.25</v>
      </c>
      <c r="M9">
        <v>2750</v>
      </c>
      <c r="N9">
        <v>1830</v>
      </c>
      <c r="O9">
        <v>19</v>
      </c>
      <c r="P9" t="s">
        <v>63</v>
      </c>
      <c r="Q9" t="s">
        <v>64</v>
      </c>
      <c r="R9" t="s">
        <v>65</v>
      </c>
      <c r="S9" t="s">
        <v>165</v>
      </c>
      <c r="T9" t="s">
        <v>166</v>
      </c>
      <c r="V9" t="s">
        <v>68</v>
      </c>
      <c r="W9" t="s">
        <v>68</v>
      </c>
      <c r="X9" s="10">
        <v>45861</v>
      </c>
      <c r="Y9" s="6"/>
      <c r="Z9" s="5">
        <v>1</v>
      </c>
      <c r="AA9" s="6"/>
      <c r="AB9" s="6"/>
      <c r="AC9" s="6"/>
    </row>
    <row r="10" spans="1:29" s="4" customFormat="1" x14ac:dyDescent="0.25">
      <c r="A10" s="5">
        <v>5</v>
      </c>
      <c r="C10" t="s">
        <v>60</v>
      </c>
      <c r="D10" t="s">
        <v>75</v>
      </c>
      <c r="F10" t="s">
        <v>76</v>
      </c>
      <c r="G10" s="17">
        <v>32.65</v>
      </c>
      <c r="H10" s="8"/>
      <c r="I10" s="8">
        <v>0.2</v>
      </c>
      <c r="J10" s="7">
        <f t="shared" si="0"/>
        <v>26.12</v>
      </c>
      <c r="K10" s="5" t="s">
        <v>27</v>
      </c>
      <c r="L10" s="9">
        <v>0.2</v>
      </c>
      <c r="M10">
        <v>2750</v>
      </c>
      <c r="N10">
        <v>1830</v>
      </c>
      <c r="O10">
        <v>19</v>
      </c>
      <c r="P10" t="s">
        <v>63</v>
      </c>
      <c r="Q10" t="s">
        <v>64</v>
      </c>
      <c r="R10" t="s">
        <v>65</v>
      </c>
      <c r="S10" t="s">
        <v>165</v>
      </c>
      <c r="T10" t="s">
        <v>166</v>
      </c>
      <c r="V10" t="s">
        <v>68</v>
      </c>
      <c r="W10" t="s">
        <v>68</v>
      </c>
      <c r="X10" s="10">
        <v>45861</v>
      </c>
      <c r="Y10" s="6"/>
      <c r="Z10" s="5">
        <v>1</v>
      </c>
      <c r="AA10" s="6"/>
      <c r="AB10" s="6"/>
      <c r="AC10" s="6"/>
    </row>
    <row r="11" spans="1:29" s="4" customFormat="1" x14ac:dyDescent="0.25">
      <c r="A11" s="5">
        <v>6</v>
      </c>
      <c r="C11" t="s">
        <v>60</v>
      </c>
      <c r="D11" t="s">
        <v>77</v>
      </c>
      <c r="F11" t="s">
        <v>78</v>
      </c>
      <c r="G11" s="17">
        <v>20.62</v>
      </c>
      <c r="H11" s="8"/>
      <c r="I11" s="8">
        <v>0.2</v>
      </c>
      <c r="J11" s="7">
        <f t="shared" si="0"/>
        <v>16.496000000000002</v>
      </c>
      <c r="K11" s="5" t="s">
        <v>27</v>
      </c>
      <c r="L11" s="9">
        <v>0.2</v>
      </c>
      <c r="M11">
        <v>2750</v>
      </c>
      <c r="N11">
        <v>1830</v>
      </c>
      <c r="O11">
        <v>19</v>
      </c>
      <c r="P11" t="s">
        <v>63</v>
      </c>
      <c r="Q11" t="s">
        <v>64</v>
      </c>
      <c r="R11" t="s">
        <v>65</v>
      </c>
      <c r="S11" t="s">
        <v>165</v>
      </c>
      <c r="T11" t="s">
        <v>166</v>
      </c>
      <c r="V11" t="s">
        <v>68</v>
      </c>
      <c r="W11" t="s">
        <v>68</v>
      </c>
      <c r="X11" s="10">
        <v>45861</v>
      </c>
      <c r="Y11" s="6"/>
      <c r="Z11" s="5">
        <v>1</v>
      </c>
      <c r="AA11" s="6"/>
      <c r="AB11" s="6"/>
      <c r="AC11" s="6"/>
    </row>
    <row r="12" spans="1:29" s="4" customFormat="1" x14ac:dyDescent="0.25">
      <c r="A12" s="5">
        <v>7</v>
      </c>
      <c r="C12" t="s">
        <v>60</v>
      </c>
      <c r="D12" t="s">
        <v>79</v>
      </c>
      <c r="F12" t="s">
        <v>80</v>
      </c>
      <c r="G12" s="17">
        <v>27.85</v>
      </c>
      <c r="H12" s="8"/>
      <c r="I12" s="8">
        <v>0.2</v>
      </c>
      <c r="J12" s="7">
        <f t="shared" si="0"/>
        <v>22.28</v>
      </c>
      <c r="K12" s="5" t="s">
        <v>27</v>
      </c>
      <c r="L12" s="9">
        <v>0.2</v>
      </c>
      <c r="M12">
        <v>2750</v>
      </c>
      <c r="N12">
        <v>1830</v>
      </c>
      <c r="O12">
        <v>19</v>
      </c>
      <c r="P12" t="s">
        <v>63</v>
      </c>
      <c r="Q12" t="s">
        <v>64</v>
      </c>
      <c r="R12" t="s">
        <v>587</v>
      </c>
      <c r="S12" t="s">
        <v>165</v>
      </c>
      <c r="T12" t="s">
        <v>166</v>
      </c>
      <c r="V12" t="s">
        <v>68</v>
      </c>
      <c r="W12" t="s">
        <v>68</v>
      </c>
      <c r="X12" s="10">
        <v>45861</v>
      </c>
      <c r="Y12" s="6"/>
      <c r="Z12" s="5">
        <v>1</v>
      </c>
      <c r="AA12" s="6"/>
      <c r="AB12" s="6"/>
      <c r="AC12" s="6"/>
    </row>
    <row r="13" spans="1:29" s="4" customFormat="1" x14ac:dyDescent="0.25">
      <c r="A13" s="5">
        <v>8</v>
      </c>
      <c r="C13" t="s">
        <v>60</v>
      </c>
      <c r="D13" t="s">
        <v>81</v>
      </c>
      <c r="F13" t="s">
        <v>82</v>
      </c>
      <c r="G13" s="17">
        <v>16.600000000000001</v>
      </c>
      <c r="H13" s="8"/>
      <c r="I13" s="8">
        <v>0.2</v>
      </c>
      <c r="J13" s="7">
        <f t="shared" si="0"/>
        <v>13.280000000000001</v>
      </c>
      <c r="K13" s="5" t="s">
        <v>27</v>
      </c>
      <c r="L13" s="9">
        <v>0.25</v>
      </c>
      <c r="M13">
        <v>2750</v>
      </c>
      <c r="N13">
        <v>1830</v>
      </c>
      <c r="O13">
        <v>19</v>
      </c>
      <c r="P13" t="s">
        <v>63</v>
      </c>
      <c r="Q13" t="s">
        <v>64</v>
      </c>
      <c r="R13" t="s">
        <v>588</v>
      </c>
      <c r="S13" t="s">
        <v>165</v>
      </c>
      <c r="T13" t="s">
        <v>166</v>
      </c>
      <c r="V13" t="s">
        <v>68</v>
      </c>
      <c r="W13" t="s">
        <v>68</v>
      </c>
      <c r="X13" s="10">
        <v>45861</v>
      </c>
      <c r="Y13" s="6"/>
      <c r="Z13" s="5">
        <v>1</v>
      </c>
      <c r="AA13" s="6"/>
      <c r="AB13" s="6"/>
      <c r="AC13" s="6"/>
    </row>
    <row r="14" spans="1:29" s="4" customFormat="1" x14ac:dyDescent="0.25">
      <c r="A14" s="5">
        <v>9</v>
      </c>
      <c r="C14" t="s">
        <v>60</v>
      </c>
      <c r="D14" t="s">
        <v>83</v>
      </c>
      <c r="F14" t="s">
        <v>84</v>
      </c>
      <c r="G14" s="17">
        <v>18.78</v>
      </c>
      <c r="H14" s="8"/>
      <c r="I14" s="8">
        <v>0.2</v>
      </c>
      <c r="J14" s="7">
        <f t="shared" si="0"/>
        <v>15.024000000000001</v>
      </c>
      <c r="K14" s="5" t="s">
        <v>27</v>
      </c>
      <c r="L14" s="9">
        <v>0.2</v>
      </c>
      <c r="M14">
        <v>2750</v>
      </c>
      <c r="N14">
        <v>1830</v>
      </c>
      <c r="O14">
        <v>19</v>
      </c>
      <c r="P14" t="s">
        <v>63</v>
      </c>
      <c r="Q14" t="s">
        <v>64</v>
      </c>
      <c r="R14" t="s">
        <v>93</v>
      </c>
      <c r="S14" t="s">
        <v>165</v>
      </c>
      <c r="T14" t="s">
        <v>166</v>
      </c>
      <c r="V14" t="s">
        <v>68</v>
      </c>
      <c r="W14" t="s">
        <v>68</v>
      </c>
      <c r="X14" s="10">
        <v>45861</v>
      </c>
      <c r="Y14" s="6"/>
      <c r="Z14" s="5">
        <v>1</v>
      </c>
      <c r="AA14" s="6"/>
      <c r="AB14" s="6"/>
      <c r="AC14" s="6"/>
    </row>
    <row r="15" spans="1:29" s="4" customFormat="1" x14ac:dyDescent="0.25">
      <c r="A15" s="5">
        <v>10</v>
      </c>
      <c r="C15" t="s">
        <v>60</v>
      </c>
      <c r="D15" t="s">
        <v>85</v>
      </c>
      <c r="F15" t="s">
        <v>86</v>
      </c>
      <c r="G15" s="17">
        <v>17</v>
      </c>
      <c r="H15" s="8"/>
      <c r="I15" s="8">
        <v>0.2</v>
      </c>
      <c r="J15" s="7">
        <f t="shared" si="0"/>
        <v>13.600000000000001</v>
      </c>
      <c r="K15" s="5" t="s">
        <v>27</v>
      </c>
      <c r="L15" s="9">
        <v>0.2</v>
      </c>
      <c r="M15">
        <v>2750</v>
      </c>
      <c r="N15">
        <v>1830</v>
      </c>
      <c r="O15">
        <v>19</v>
      </c>
      <c r="P15" t="s">
        <v>63</v>
      </c>
      <c r="Q15" t="s">
        <v>64</v>
      </c>
      <c r="R15" t="s">
        <v>93</v>
      </c>
      <c r="S15" t="s">
        <v>165</v>
      </c>
      <c r="T15" t="s">
        <v>166</v>
      </c>
      <c r="V15" t="s">
        <v>68</v>
      </c>
      <c r="W15" t="s">
        <v>68</v>
      </c>
      <c r="X15" s="10">
        <v>45861</v>
      </c>
      <c r="Y15" s="6"/>
      <c r="Z15" s="5">
        <v>1</v>
      </c>
      <c r="AA15" s="6"/>
      <c r="AB15" s="6"/>
      <c r="AC15" s="6"/>
    </row>
    <row r="16" spans="1:29" s="4" customFormat="1" x14ac:dyDescent="0.25">
      <c r="A16" s="5">
        <v>11</v>
      </c>
      <c r="C16" t="s">
        <v>60</v>
      </c>
      <c r="D16" t="s">
        <v>87</v>
      </c>
      <c r="F16" t="s">
        <v>88</v>
      </c>
      <c r="G16" s="17">
        <v>18.96</v>
      </c>
      <c r="H16" s="8"/>
      <c r="I16" s="8">
        <v>0.2</v>
      </c>
      <c r="J16" s="7">
        <f t="shared" si="0"/>
        <v>15.168000000000001</v>
      </c>
      <c r="K16" s="5" t="s">
        <v>27</v>
      </c>
      <c r="L16" s="9">
        <v>0.2</v>
      </c>
      <c r="M16">
        <v>2750</v>
      </c>
      <c r="N16">
        <v>1830</v>
      </c>
      <c r="O16">
        <v>19</v>
      </c>
      <c r="P16" t="s">
        <v>63</v>
      </c>
      <c r="Q16" t="s">
        <v>64</v>
      </c>
      <c r="R16" t="s">
        <v>589</v>
      </c>
      <c r="S16" t="s">
        <v>165</v>
      </c>
      <c r="T16" t="s">
        <v>166</v>
      </c>
      <c r="V16" t="s">
        <v>68</v>
      </c>
      <c r="W16" t="s">
        <v>68</v>
      </c>
      <c r="X16" s="10">
        <v>45861</v>
      </c>
      <c r="Y16" s="6"/>
      <c r="Z16" s="5">
        <v>1</v>
      </c>
      <c r="AA16" s="6"/>
      <c r="AB16" s="6"/>
      <c r="AC16" s="6"/>
    </row>
    <row r="17" spans="1:29" s="4" customFormat="1" x14ac:dyDescent="0.25">
      <c r="A17" s="5">
        <v>12</v>
      </c>
      <c r="C17" t="s">
        <v>60</v>
      </c>
      <c r="D17" t="s">
        <v>89</v>
      </c>
      <c r="F17" t="s">
        <v>90</v>
      </c>
      <c r="G17" s="17">
        <v>22.18</v>
      </c>
      <c r="H17" s="8"/>
      <c r="I17" s="8">
        <v>0.2</v>
      </c>
      <c r="J17" s="7">
        <f t="shared" si="0"/>
        <v>17.744</v>
      </c>
      <c r="K17" s="5" t="s">
        <v>27</v>
      </c>
      <c r="L17" s="9">
        <v>0.25</v>
      </c>
      <c r="M17">
        <v>2750</v>
      </c>
      <c r="N17">
        <v>1830</v>
      </c>
      <c r="O17">
        <v>19</v>
      </c>
      <c r="P17" t="s">
        <v>63</v>
      </c>
      <c r="Q17" t="s">
        <v>64</v>
      </c>
      <c r="R17" t="s">
        <v>590</v>
      </c>
      <c r="S17" t="s">
        <v>165</v>
      </c>
      <c r="T17" t="s">
        <v>166</v>
      </c>
      <c r="V17" t="s">
        <v>68</v>
      </c>
      <c r="W17" t="s">
        <v>68</v>
      </c>
      <c r="X17" s="10">
        <v>45861</v>
      </c>
      <c r="Y17" s="6"/>
      <c r="Z17" s="5">
        <v>1</v>
      </c>
      <c r="AA17" s="6"/>
      <c r="AB17" s="6"/>
      <c r="AC17" s="6"/>
    </row>
    <row r="18" spans="1:29" s="4" customFormat="1" x14ac:dyDescent="0.25">
      <c r="A18" s="5">
        <v>13</v>
      </c>
      <c r="C18" t="s">
        <v>60</v>
      </c>
      <c r="D18" t="s">
        <v>91</v>
      </c>
      <c r="F18" t="s">
        <v>92</v>
      </c>
      <c r="G18" s="17">
        <v>28.15</v>
      </c>
      <c r="H18" s="8"/>
      <c r="I18" s="8">
        <v>0.2</v>
      </c>
      <c r="J18" s="7">
        <f t="shared" si="0"/>
        <v>22.52</v>
      </c>
      <c r="K18" s="5" t="s">
        <v>27</v>
      </c>
      <c r="L18" s="9">
        <v>0.2</v>
      </c>
      <c r="M18">
        <v>2750</v>
      </c>
      <c r="N18">
        <v>1830</v>
      </c>
      <c r="O18">
        <v>19</v>
      </c>
      <c r="P18" t="s">
        <v>63</v>
      </c>
      <c r="Q18" t="s">
        <v>64</v>
      </c>
      <c r="R18" t="s">
        <v>591</v>
      </c>
      <c r="S18" t="s">
        <v>165</v>
      </c>
      <c r="T18" t="s">
        <v>166</v>
      </c>
      <c r="V18" t="s">
        <v>68</v>
      </c>
      <c r="W18" t="s">
        <v>68</v>
      </c>
      <c r="X18" s="10">
        <v>45861</v>
      </c>
      <c r="Y18" s="6"/>
      <c r="Z18" s="5">
        <v>1</v>
      </c>
      <c r="AA18" s="6"/>
      <c r="AB18" s="6"/>
      <c r="AC18" s="6"/>
    </row>
    <row r="19" spans="1:29" s="4" customFormat="1" x14ac:dyDescent="0.25">
      <c r="A19" s="5">
        <v>14</v>
      </c>
      <c r="C19" t="s">
        <v>60</v>
      </c>
      <c r="D19" t="s">
        <v>94</v>
      </c>
      <c r="F19" t="s">
        <v>95</v>
      </c>
      <c r="G19" s="17">
        <v>15.71</v>
      </c>
      <c r="H19" s="8"/>
      <c r="I19" s="8">
        <v>0.2</v>
      </c>
      <c r="J19" s="7">
        <f t="shared" si="0"/>
        <v>12.568000000000001</v>
      </c>
      <c r="K19" s="5" t="s">
        <v>27</v>
      </c>
      <c r="L19" s="9">
        <v>0.2</v>
      </c>
      <c r="M19">
        <v>2750</v>
      </c>
      <c r="N19">
        <v>1830</v>
      </c>
      <c r="O19">
        <v>19</v>
      </c>
      <c r="P19" t="s">
        <v>63</v>
      </c>
      <c r="Q19" t="s">
        <v>64</v>
      </c>
      <c r="R19" t="s">
        <v>592</v>
      </c>
      <c r="S19" t="s">
        <v>165</v>
      </c>
      <c r="T19" t="s">
        <v>166</v>
      </c>
      <c r="V19" t="s">
        <v>68</v>
      </c>
      <c r="W19" t="s">
        <v>68</v>
      </c>
      <c r="X19" s="10">
        <v>45861</v>
      </c>
      <c r="Y19" s="6"/>
      <c r="Z19" s="5">
        <v>1</v>
      </c>
      <c r="AA19" s="6"/>
      <c r="AB19" s="6"/>
      <c r="AC19" s="6"/>
    </row>
    <row r="20" spans="1:29" s="4" customFormat="1" x14ac:dyDescent="0.25">
      <c r="A20" s="5">
        <v>15</v>
      </c>
      <c r="C20" t="s">
        <v>60</v>
      </c>
      <c r="D20" t="s">
        <v>96</v>
      </c>
      <c r="F20" t="s">
        <v>97</v>
      </c>
      <c r="G20" s="17">
        <v>35.78</v>
      </c>
      <c r="H20" s="8"/>
      <c r="I20" s="8">
        <v>0.2</v>
      </c>
      <c r="J20" s="7">
        <f t="shared" si="0"/>
        <v>28.624000000000002</v>
      </c>
      <c r="K20" s="5" t="s">
        <v>27</v>
      </c>
      <c r="L20" s="9">
        <v>0.2</v>
      </c>
      <c r="M20">
        <v>2750</v>
      </c>
      <c r="N20">
        <v>1830</v>
      </c>
      <c r="O20">
        <v>19</v>
      </c>
      <c r="P20" t="s">
        <v>63</v>
      </c>
      <c r="Q20" t="s">
        <v>64</v>
      </c>
      <c r="R20" t="s">
        <v>186</v>
      </c>
      <c r="S20" t="s">
        <v>165</v>
      </c>
      <c r="T20" t="s">
        <v>166</v>
      </c>
      <c r="V20" t="s">
        <v>68</v>
      </c>
      <c r="W20" t="s">
        <v>68</v>
      </c>
      <c r="X20" s="10">
        <v>45861</v>
      </c>
      <c r="Y20" s="6"/>
      <c r="Z20" s="5">
        <v>1</v>
      </c>
      <c r="AA20" s="6"/>
      <c r="AB20" s="6"/>
      <c r="AC20" s="6"/>
    </row>
    <row r="21" spans="1:29" s="4" customFormat="1" x14ac:dyDescent="0.25">
      <c r="A21" s="5">
        <v>16</v>
      </c>
      <c r="C21" t="s">
        <v>60</v>
      </c>
      <c r="D21" t="s">
        <v>98</v>
      </c>
      <c r="F21" t="s">
        <v>99</v>
      </c>
      <c r="G21" s="17">
        <v>17.89</v>
      </c>
      <c r="H21" s="8"/>
      <c r="I21" s="8">
        <v>0.2</v>
      </c>
      <c r="J21" s="7">
        <f t="shared" si="0"/>
        <v>14.312000000000001</v>
      </c>
      <c r="K21" s="5" t="s">
        <v>27</v>
      </c>
      <c r="L21" s="9">
        <v>0.25</v>
      </c>
      <c r="M21">
        <v>2750</v>
      </c>
      <c r="N21">
        <v>1830</v>
      </c>
      <c r="O21">
        <v>19</v>
      </c>
      <c r="P21" t="s">
        <v>63</v>
      </c>
      <c r="Q21" t="s">
        <v>64</v>
      </c>
      <c r="R21" t="s">
        <v>593</v>
      </c>
      <c r="S21" t="s">
        <v>165</v>
      </c>
      <c r="T21" t="s">
        <v>166</v>
      </c>
      <c r="V21" t="s">
        <v>68</v>
      </c>
      <c r="W21" t="s">
        <v>68</v>
      </c>
      <c r="X21" s="10">
        <v>45861</v>
      </c>
      <c r="Y21" s="6"/>
      <c r="Z21" s="5">
        <v>1</v>
      </c>
      <c r="AA21" s="6"/>
      <c r="AB21" s="6"/>
      <c r="AC21" s="6"/>
    </row>
    <row r="22" spans="1:29" s="3" customFormat="1" x14ac:dyDescent="0.25">
      <c r="A22" s="5">
        <v>17</v>
      </c>
      <c r="B22" s="4"/>
      <c r="C22" t="s">
        <v>105</v>
      </c>
      <c r="D22" t="s">
        <v>106</v>
      </c>
      <c r="E22" s="4"/>
      <c r="F22" t="s">
        <v>107</v>
      </c>
      <c r="G22" s="17">
        <v>7.85</v>
      </c>
      <c r="H22" s="8">
        <v>0.1</v>
      </c>
      <c r="I22" s="8">
        <v>0.33</v>
      </c>
      <c r="J22" s="7">
        <f t="shared" si="0"/>
        <v>5.78545</v>
      </c>
      <c r="K22" s="5" t="s">
        <v>27</v>
      </c>
      <c r="L22" s="9">
        <v>0.18</v>
      </c>
      <c r="M22">
        <v>2800</v>
      </c>
      <c r="N22">
        <v>2070</v>
      </c>
      <c r="O22">
        <v>19</v>
      </c>
      <c r="P22" t="s">
        <v>63</v>
      </c>
      <c r="Q22" t="s">
        <v>64</v>
      </c>
      <c r="R22" t="s">
        <v>103</v>
      </c>
      <c r="S22" t="s">
        <v>66</v>
      </c>
      <c r="T22" t="s">
        <v>67</v>
      </c>
      <c r="U22" s="4"/>
      <c r="V22" t="s">
        <v>108</v>
      </c>
      <c r="W22" t="s">
        <v>108</v>
      </c>
      <c r="X22" s="10">
        <v>45861</v>
      </c>
      <c r="Y22" s="6"/>
      <c r="Z22" s="6">
        <v>0</v>
      </c>
      <c r="AA22" s="6"/>
      <c r="AB22" s="6"/>
      <c r="AC22" s="6"/>
    </row>
    <row r="23" spans="1:29" s="4" customFormat="1" x14ac:dyDescent="0.25">
      <c r="A23" s="5">
        <v>18</v>
      </c>
      <c r="C23" t="s">
        <v>109</v>
      </c>
      <c r="D23" t="s">
        <v>110</v>
      </c>
      <c r="F23" t="s">
        <v>111</v>
      </c>
      <c r="G23" s="17">
        <v>6.71</v>
      </c>
      <c r="H23" s="8">
        <v>0.1</v>
      </c>
      <c r="I23" s="8">
        <v>0.33</v>
      </c>
      <c r="J23" s="7">
        <f t="shared" si="0"/>
        <v>4.9452699999999998</v>
      </c>
      <c r="K23" s="5" t="s">
        <v>27</v>
      </c>
      <c r="L23" s="9">
        <v>0.18</v>
      </c>
      <c r="M23">
        <v>2800</v>
      </c>
      <c r="N23">
        <v>2070</v>
      </c>
      <c r="O23">
        <v>12</v>
      </c>
      <c r="P23" t="s">
        <v>63</v>
      </c>
      <c r="Q23" t="s">
        <v>64</v>
      </c>
      <c r="R23" t="s">
        <v>103</v>
      </c>
      <c r="S23" t="s">
        <v>66</v>
      </c>
      <c r="T23" t="s">
        <v>67</v>
      </c>
      <c r="V23" t="s">
        <v>108</v>
      </c>
      <c r="W23" t="s">
        <v>108</v>
      </c>
      <c r="X23" s="10">
        <v>45861</v>
      </c>
      <c r="Y23" s="6"/>
      <c r="Z23" s="6">
        <v>0</v>
      </c>
      <c r="AA23" s="6"/>
      <c r="AB23" s="6"/>
      <c r="AC23" s="6"/>
    </row>
    <row r="24" spans="1:29" s="4" customFormat="1" x14ac:dyDescent="0.25">
      <c r="A24" s="5">
        <v>19</v>
      </c>
      <c r="C24" t="s">
        <v>109</v>
      </c>
      <c r="D24" t="s">
        <v>112</v>
      </c>
      <c r="F24" t="s">
        <v>113</v>
      </c>
      <c r="G24" s="17">
        <v>7.85</v>
      </c>
      <c r="H24" s="8">
        <v>0.1</v>
      </c>
      <c r="I24" s="8">
        <v>0.33</v>
      </c>
      <c r="J24" s="7">
        <f t="shared" si="0"/>
        <v>5.78545</v>
      </c>
      <c r="K24" s="5" t="s">
        <v>27</v>
      </c>
      <c r="L24" s="9">
        <v>0.18</v>
      </c>
      <c r="M24">
        <v>2800</v>
      </c>
      <c r="N24">
        <v>2070</v>
      </c>
      <c r="O24">
        <v>19</v>
      </c>
      <c r="P24" t="s">
        <v>63</v>
      </c>
      <c r="Q24" t="s">
        <v>64</v>
      </c>
      <c r="R24" t="s">
        <v>103</v>
      </c>
      <c r="S24" t="s">
        <v>66</v>
      </c>
      <c r="T24" t="s">
        <v>67</v>
      </c>
      <c r="V24" t="s">
        <v>108</v>
      </c>
      <c r="W24" t="s">
        <v>108</v>
      </c>
      <c r="X24" s="10">
        <v>45861</v>
      </c>
      <c r="Y24" s="6"/>
      <c r="Z24" s="6">
        <v>0</v>
      </c>
      <c r="AA24" s="6"/>
      <c r="AB24" s="6"/>
      <c r="AC24" s="6"/>
    </row>
    <row r="25" spans="1:29" s="4" customFormat="1" x14ac:dyDescent="0.25">
      <c r="A25" s="5">
        <v>20</v>
      </c>
      <c r="C25" t="s">
        <v>109</v>
      </c>
      <c r="D25" t="s">
        <v>114</v>
      </c>
      <c r="F25" t="s">
        <v>115</v>
      </c>
      <c r="G25" s="17">
        <v>11.15</v>
      </c>
      <c r="H25" s="8">
        <v>0.1</v>
      </c>
      <c r="I25" s="8">
        <v>0.33</v>
      </c>
      <c r="J25" s="7">
        <f t="shared" si="0"/>
        <v>8.2175499999999992</v>
      </c>
      <c r="K25" s="5" t="s">
        <v>27</v>
      </c>
      <c r="L25" s="9">
        <v>0.25</v>
      </c>
      <c r="M25">
        <v>2800</v>
      </c>
      <c r="N25">
        <v>2070</v>
      </c>
      <c r="O25">
        <v>30</v>
      </c>
      <c r="P25" t="s">
        <v>63</v>
      </c>
      <c r="Q25" t="s">
        <v>64</v>
      </c>
      <c r="R25" t="s">
        <v>103</v>
      </c>
      <c r="S25" t="s">
        <v>66</v>
      </c>
      <c r="T25" t="s">
        <v>67</v>
      </c>
      <c r="V25" t="s">
        <v>108</v>
      </c>
      <c r="W25" t="s">
        <v>108</v>
      </c>
      <c r="X25" s="10">
        <v>45861</v>
      </c>
      <c r="Y25" s="6"/>
      <c r="Z25" s="6">
        <v>0</v>
      </c>
      <c r="AA25" s="6"/>
      <c r="AB25" s="6"/>
      <c r="AC25" s="6"/>
    </row>
    <row r="26" spans="1:29" s="4" customFormat="1" x14ac:dyDescent="0.25">
      <c r="A26" s="5">
        <v>21</v>
      </c>
      <c r="C26" t="s">
        <v>116</v>
      </c>
      <c r="D26" t="s">
        <v>117</v>
      </c>
      <c r="F26" t="s">
        <v>118</v>
      </c>
      <c r="G26" s="17">
        <v>6.19</v>
      </c>
      <c r="H26" s="8">
        <v>0.1</v>
      </c>
      <c r="I26" s="8">
        <v>0.39</v>
      </c>
      <c r="J26" s="7">
        <f t="shared" si="0"/>
        <v>4.1534900000000006</v>
      </c>
      <c r="K26" s="5" t="s">
        <v>27</v>
      </c>
      <c r="L26" s="9">
        <v>0.2</v>
      </c>
      <c r="M26">
        <v>2800</v>
      </c>
      <c r="N26">
        <v>2070</v>
      </c>
      <c r="O26">
        <v>8</v>
      </c>
      <c r="P26" t="s">
        <v>63</v>
      </c>
      <c r="Q26" t="s">
        <v>64</v>
      </c>
      <c r="R26" t="s">
        <v>103</v>
      </c>
      <c r="S26" t="s">
        <v>66</v>
      </c>
      <c r="T26" t="s">
        <v>67</v>
      </c>
      <c r="V26" t="s">
        <v>108</v>
      </c>
      <c r="W26" t="s">
        <v>108</v>
      </c>
      <c r="X26" s="10">
        <v>45861</v>
      </c>
      <c r="Y26" s="6"/>
      <c r="Z26" s="6">
        <v>0</v>
      </c>
      <c r="AA26" s="6"/>
      <c r="AB26" s="6"/>
      <c r="AC26" s="6"/>
    </row>
    <row r="27" spans="1:29" s="4" customFormat="1" x14ac:dyDescent="0.25">
      <c r="A27" s="5">
        <v>22</v>
      </c>
      <c r="C27" t="s">
        <v>116</v>
      </c>
      <c r="D27" t="s">
        <v>121</v>
      </c>
      <c r="F27" t="s">
        <v>122</v>
      </c>
      <c r="G27" s="17">
        <v>7.09</v>
      </c>
      <c r="H27" s="8">
        <v>0.1</v>
      </c>
      <c r="I27" s="8">
        <v>0.39</v>
      </c>
      <c r="J27" s="7">
        <f t="shared" si="0"/>
        <v>4.75739</v>
      </c>
      <c r="K27" s="5" t="s">
        <v>27</v>
      </c>
      <c r="L27" s="9">
        <v>0.15</v>
      </c>
      <c r="M27">
        <v>2800</v>
      </c>
      <c r="N27">
        <v>2070</v>
      </c>
      <c r="O27">
        <v>16</v>
      </c>
      <c r="P27" t="s">
        <v>63</v>
      </c>
      <c r="Q27" t="s">
        <v>64</v>
      </c>
      <c r="R27" t="s">
        <v>103</v>
      </c>
      <c r="S27" t="s">
        <v>66</v>
      </c>
      <c r="T27" t="s">
        <v>67</v>
      </c>
      <c r="V27" t="s">
        <v>108</v>
      </c>
      <c r="W27" t="s">
        <v>108</v>
      </c>
      <c r="X27" s="10">
        <v>45861</v>
      </c>
      <c r="Y27" s="6"/>
      <c r="Z27" s="6">
        <v>0</v>
      </c>
      <c r="AA27" s="6"/>
      <c r="AB27" s="6"/>
      <c r="AC27" s="6"/>
    </row>
    <row r="28" spans="1:29" s="4" customFormat="1" x14ac:dyDescent="0.25">
      <c r="A28" s="5">
        <v>23</v>
      </c>
      <c r="C28" t="s">
        <v>116</v>
      </c>
      <c r="D28" t="s">
        <v>123</v>
      </c>
      <c r="F28" t="s">
        <v>124</v>
      </c>
      <c r="G28" s="17">
        <v>7.85</v>
      </c>
      <c r="H28" s="8">
        <v>0.1</v>
      </c>
      <c r="I28" s="8">
        <v>0.39</v>
      </c>
      <c r="J28" s="7">
        <f t="shared" si="0"/>
        <v>5.2673500000000004</v>
      </c>
      <c r="K28" s="5" t="s">
        <v>27</v>
      </c>
      <c r="L28" s="9">
        <v>0.15</v>
      </c>
      <c r="M28">
        <v>2800</v>
      </c>
      <c r="N28">
        <v>2070</v>
      </c>
      <c r="O28">
        <v>19</v>
      </c>
      <c r="P28" t="s">
        <v>63</v>
      </c>
      <c r="Q28" t="s">
        <v>64</v>
      </c>
      <c r="R28" t="s">
        <v>103</v>
      </c>
      <c r="S28" t="s">
        <v>66</v>
      </c>
      <c r="T28" t="s">
        <v>67</v>
      </c>
      <c r="V28" t="s">
        <v>108</v>
      </c>
      <c r="W28" t="s">
        <v>108</v>
      </c>
      <c r="X28" s="10">
        <v>45861</v>
      </c>
      <c r="Y28" s="6"/>
      <c r="Z28" s="6">
        <v>0</v>
      </c>
      <c r="AA28" s="6"/>
      <c r="AB28" s="6"/>
      <c r="AC28" s="6"/>
    </row>
    <row r="29" spans="1:29" s="4" customFormat="1" x14ac:dyDescent="0.25">
      <c r="A29" s="5">
        <v>24</v>
      </c>
      <c r="C29" t="s">
        <v>155</v>
      </c>
      <c r="D29" t="s">
        <v>156</v>
      </c>
      <c r="F29" t="s">
        <v>157</v>
      </c>
      <c r="G29" s="17">
        <v>9.74</v>
      </c>
      <c r="H29" s="8">
        <v>0.1</v>
      </c>
      <c r="I29" s="8">
        <v>0.24</v>
      </c>
      <c r="J29" s="7">
        <f t="shared" si="0"/>
        <v>8.1426400000000001</v>
      </c>
      <c r="K29" s="5" t="s">
        <v>27</v>
      </c>
      <c r="L29" s="9">
        <v>0.2</v>
      </c>
      <c r="M29">
        <v>2800</v>
      </c>
      <c r="N29">
        <v>2070</v>
      </c>
      <c r="O29">
        <v>12</v>
      </c>
      <c r="P29" t="s">
        <v>63</v>
      </c>
      <c r="Q29" t="s">
        <v>64</v>
      </c>
      <c r="R29" t="s">
        <v>103</v>
      </c>
      <c r="S29" t="s">
        <v>66</v>
      </c>
      <c r="T29" t="s">
        <v>67</v>
      </c>
      <c r="V29" t="s">
        <v>68</v>
      </c>
      <c r="W29" t="s">
        <v>108</v>
      </c>
      <c r="X29" s="10">
        <v>45861</v>
      </c>
      <c r="Y29" s="6"/>
      <c r="Z29" s="6">
        <v>0</v>
      </c>
      <c r="AA29" s="6"/>
      <c r="AB29" s="6"/>
      <c r="AC29" s="6"/>
    </row>
    <row r="30" spans="1:29" s="4" customFormat="1" x14ac:dyDescent="0.25">
      <c r="A30" s="5">
        <v>25</v>
      </c>
      <c r="C30" t="s">
        <v>155</v>
      </c>
      <c r="D30" t="s">
        <v>158</v>
      </c>
      <c r="F30" t="s">
        <v>159</v>
      </c>
      <c r="G30" s="17">
        <v>10.9</v>
      </c>
      <c r="H30" s="8">
        <v>0.1</v>
      </c>
      <c r="I30" s="8">
        <v>0.24</v>
      </c>
      <c r="J30" s="7">
        <f t="shared" si="0"/>
        <v>9.1124000000000009</v>
      </c>
      <c r="K30" s="5" t="s">
        <v>27</v>
      </c>
      <c r="L30" s="9">
        <v>0.2</v>
      </c>
      <c r="M30">
        <v>2800</v>
      </c>
      <c r="N30">
        <v>2070</v>
      </c>
      <c r="O30">
        <v>19</v>
      </c>
      <c r="P30" t="s">
        <v>63</v>
      </c>
      <c r="Q30" t="s">
        <v>64</v>
      </c>
      <c r="R30" t="s">
        <v>103</v>
      </c>
      <c r="S30" t="s">
        <v>66</v>
      </c>
      <c r="T30" t="s">
        <v>67</v>
      </c>
      <c r="V30" t="s">
        <v>68</v>
      </c>
      <c r="W30" t="s">
        <v>108</v>
      </c>
      <c r="X30" s="10">
        <v>45861</v>
      </c>
      <c r="Y30" s="6"/>
      <c r="Z30" s="6">
        <v>0</v>
      </c>
      <c r="AA30" s="6"/>
      <c r="AB30" s="6"/>
      <c r="AC30" s="6"/>
    </row>
    <row r="31" spans="1:29" s="4" customFormat="1" x14ac:dyDescent="0.25">
      <c r="A31" s="5">
        <v>26</v>
      </c>
      <c r="C31" t="s">
        <v>155</v>
      </c>
      <c r="D31" t="s">
        <v>160</v>
      </c>
      <c r="F31" t="s">
        <v>161</v>
      </c>
      <c r="G31" s="17">
        <v>14.27</v>
      </c>
      <c r="H31" s="8">
        <v>0.1</v>
      </c>
      <c r="I31" s="8">
        <v>0.24</v>
      </c>
      <c r="J31" s="7">
        <f t="shared" si="0"/>
        <v>11.929720000000001</v>
      </c>
      <c r="K31" s="5" t="s">
        <v>27</v>
      </c>
      <c r="L31" s="9">
        <v>0.2</v>
      </c>
      <c r="M31">
        <v>2800</v>
      </c>
      <c r="N31">
        <v>2070</v>
      </c>
      <c r="O31">
        <v>30</v>
      </c>
      <c r="P31" t="s">
        <v>63</v>
      </c>
      <c r="Q31" t="s">
        <v>64</v>
      </c>
      <c r="R31" t="s">
        <v>103</v>
      </c>
      <c r="S31" t="s">
        <v>66</v>
      </c>
      <c r="T31" t="s">
        <v>67</v>
      </c>
      <c r="V31" t="s">
        <v>68</v>
      </c>
      <c r="W31" t="s">
        <v>108</v>
      </c>
      <c r="X31" s="10">
        <v>45861</v>
      </c>
      <c r="Y31" s="6"/>
      <c r="Z31" s="6">
        <v>0</v>
      </c>
      <c r="AA31" s="6"/>
      <c r="AB31" s="6"/>
      <c r="AC31" s="6"/>
    </row>
    <row r="32" spans="1:29" s="4" customFormat="1" x14ac:dyDescent="0.25">
      <c r="A32" s="5">
        <v>27</v>
      </c>
      <c r="C32" t="s">
        <v>125</v>
      </c>
      <c r="D32" t="s">
        <v>126</v>
      </c>
      <c r="F32" t="s">
        <v>127</v>
      </c>
      <c r="G32" s="17">
        <v>15.82</v>
      </c>
      <c r="H32" s="8"/>
      <c r="I32" s="8">
        <v>0.3</v>
      </c>
      <c r="J32" s="7">
        <f t="shared" si="0"/>
        <v>11.074</v>
      </c>
      <c r="K32" s="5" t="s">
        <v>27</v>
      </c>
      <c r="L32" s="9">
        <v>0.25</v>
      </c>
      <c r="M32">
        <v>2800</v>
      </c>
      <c r="N32">
        <v>2070</v>
      </c>
      <c r="O32">
        <v>19</v>
      </c>
      <c r="P32" t="s">
        <v>63</v>
      </c>
      <c r="Q32" t="s">
        <v>64</v>
      </c>
      <c r="R32" t="s">
        <v>103</v>
      </c>
      <c r="S32" t="s">
        <v>66</v>
      </c>
      <c r="T32" t="s">
        <v>67</v>
      </c>
      <c r="V32" t="s">
        <v>68</v>
      </c>
      <c r="W32" t="s">
        <v>128</v>
      </c>
      <c r="X32" s="10">
        <v>45861</v>
      </c>
      <c r="Y32" s="6"/>
      <c r="Z32" s="6">
        <v>0</v>
      </c>
      <c r="AA32" s="6"/>
      <c r="AB32" s="6"/>
      <c r="AC32" s="6"/>
    </row>
    <row r="33" spans="1:29" s="4" customFormat="1" x14ac:dyDescent="0.25">
      <c r="A33" s="5">
        <v>28</v>
      </c>
      <c r="C33" t="s">
        <v>167</v>
      </c>
      <c r="D33" t="s">
        <v>168</v>
      </c>
      <c r="F33" t="s">
        <v>169</v>
      </c>
      <c r="G33" s="17">
        <v>13.04</v>
      </c>
      <c r="H33" s="8"/>
      <c r="I33" s="8">
        <v>0.3</v>
      </c>
      <c r="J33" s="7">
        <f t="shared" si="0"/>
        <v>9.1279999999999983</v>
      </c>
      <c r="K33" s="5" t="s">
        <v>27</v>
      </c>
      <c r="L33" s="9">
        <v>0.25</v>
      </c>
      <c r="M33">
        <v>2800</v>
      </c>
      <c r="N33">
        <v>2070</v>
      </c>
      <c r="O33">
        <v>8</v>
      </c>
      <c r="P33" t="s">
        <v>63</v>
      </c>
      <c r="Q33" t="s">
        <v>64</v>
      </c>
      <c r="R33" t="s">
        <v>65</v>
      </c>
      <c r="S33" t="s">
        <v>165</v>
      </c>
      <c r="T33" t="s">
        <v>166</v>
      </c>
      <c r="V33" t="s">
        <v>68</v>
      </c>
      <c r="W33" t="s">
        <v>128</v>
      </c>
      <c r="X33" s="10">
        <v>45861</v>
      </c>
      <c r="Y33" s="6"/>
      <c r="Z33" s="6">
        <v>0</v>
      </c>
      <c r="AA33" s="6"/>
      <c r="AB33" s="6"/>
      <c r="AC33" s="6"/>
    </row>
    <row r="34" spans="1:29" s="4" customFormat="1" x14ac:dyDescent="0.25">
      <c r="A34" s="5">
        <v>29</v>
      </c>
      <c r="C34" t="s">
        <v>167</v>
      </c>
      <c r="D34" t="s">
        <v>170</v>
      </c>
      <c r="F34" t="s">
        <v>171</v>
      </c>
      <c r="G34" s="17">
        <v>14.02</v>
      </c>
      <c r="H34" s="8"/>
      <c r="I34" s="8">
        <v>0.3</v>
      </c>
      <c r="J34" s="7">
        <f t="shared" si="0"/>
        <v>9.8139999999999983</v>
      </c>
      <c r="K34" s="5" t="s">
        <v>27</v>
      </c>
      <c r="L34" s="9">
        <v>0.2</v>
      </c>
      <c r="M34">
        <v>2800</v>
      </c>
      <c r="N34">
        <v>2070</v>
      </c>
      <c r="O34">
        <v>12</v>
      </c>
      <c r="P34" t="s">
        <v>63</v>
      </c>
      <c r="Q34" t="s">
        <v>64</v>
      </c>
      <c r="R34" t="s">
        <v>65</v>
      </c>
      <c r="S34" t="s">
        <v>165</v>
      </c>
      <c r="T34" t="s">
        <v>166</v>
      </c>
      <c r="V34" t="s">
        <v>68</v>
      </c>
      <c r="W34" t="s">
        <v>128</v>
      </c>
      <c r="X34" s="10">
        <v>45861</v>
      </c>
      <c r="Y34" s="6"/>
      <c r="Z34" s="6">
        <v>0</v>
      </c>
      <c r="AA34" s="6"/>
      <c r="AB34" s="6"/>
      <c r="AC34" s="6"/>
    </row>
    <row r="35" spans="1:29" s="4" customFormat="1" x14ac:dyDescent="0.25">
      <c r="A35" s="5">
        <v>30</v>
      </c>
      <c r="C35" t="s">
        <v>167</v>
      </c>
      <c r="D35" t="s">
        <v>172</v>
      </c>
      <c r="F35" t="s">
        <v>173</v>
      </c>
      <c r="G35" s="17">
        <v>15.82</v>
      </c>
      <c r="H35" s="8"/>
      <c r="I35" s="8">
        <v>0.3</v>
      </c>
      <c r="J35" s="7">
        <f t="shared" si="0"/>
        <v>11.074</v>
      </c>
      <c r="K35" s="5" t="s">
        <v>27</v>
      </c>
      <c r="L35" s="9">
        <v>0.2</v>
      </c>
      <c r="M35">
        <v>2800</v>
      </c>
      <c r="N35">
        <v>2070</v>
      </c>
      <c r="O35">
        <v>19</v>
      </c>
      <c r="P35" t="s">
        <v>63</v>
      </c>
      <c r="Q35" t="s">
        <v>64</v>
      </c>
      <c r="R35" t="s">
        <v>65</v>
      </c>
      <c r="S35" t="s">
        <v>165</v>
      </c>
      <c r="T35" t="s">
        <v>166</v>
      </c>
      <c r="V35" t="s">
        <v>68</v>
      </c>
      <c r="W35" t="s">
        <v>128</v>
      </c>
      <c r="X35" s="10">
        <v>45861</v>
      </c>
      <c r="Y35" s="6"/>
      <c r="Z35" s="6">
        <v>0</v>
      </c>
      <c r="AA35" s="6"/>
      <c r="AB35" s="6"/>
      <c r="AC35" s="6"/>
    </row>
    <row r="36" spans="1:29" s="4" customFormat="1" x14ac:dyDescent="0.25">
      <c r="A36" s="5">
        <v>31</v>
      </c>
      <c r="C36" t="s">
        <v>167</v>
      </c>
      <c r="D36" t="s">
        <v>174</v>
      </c>
      <c r="F36" t="s">
        <v>175</v>
      </c>
      <c r="G36" s="17">
        <v>20</v>
      </c>
      <c r="H36" s="8"/>
      <c r="I36" s="8">
        <v>0.3</v>
      </c>
      <c r="J36" s="7">
        <f t="shared" si="0"/>
        <v>14</v>
      </c>
      <c r="K36" s="5" t="s">
        <v>27</v>
      </c>
      <c r="L36" s="9">
        <v>0.25</v>
      </c>
      <c r="M36">
        <v>2800</v>
      </c>
      <c r="N36">
        <v>2070</v>
      </c>
      <c r="O36">
        <v>28</v>
      </c>
      <c r="P36" t="s">
        <v>63</v>
      </c>
      <c r="Q36" t="s">
        <v>64</v>
      </c>
      <c r="R36" t="s">
        <v>65</v>
      </c>
      <c r="S36" t="s">
        <v>165</v>
      </c>
      <c r="T36" t="s">
        <v>166</v>
      </c>
      <c r="V36" t="s">
        <v>68</v>
      </c>
      <c r="W36" t="s">
        <v>128</v>
      </c>
      <c r="X36" s="10">
        <v>45861</v>
      </c>
      <c r="Y36" s="6"/>
      <c r="Z36" s="6">
        <v>0</v>
      </c>
      <c r="AA36" s="6"/>
      <c r="AB36" s="6"/>
      <c r="AC36" s="6"/>
    </row>
    <row r="37" spans="1:29" s="4" customFormat="1" x14ac:dyDescent="0.25">
      <c r="A37" s="5">
        <v>32</v>
      </c>
      <c r="C37" t="s">
        <v>162</v>
      </c>
      <c r="D37" t="s">
        <v>163</v>
      </c>
      <c r="F37" t="s">
        <v>164</v>
      </c>
      <c r="G37" s="17">
        <v>16.46</v>
      </c>
      <c r="H37" s="8">
        <v>0.05</v>
      </c>
      <c r="I37" s="8">
        <v>0.3</v>
      </c>
      <c r="J37" s="7">
        <f t="shared" si="0"/>
        <v>12.098100000000001</v>
      </c>
      <c r="K37" s="5" t="s">
        <v>27</v>
      </c>
      <c r="L37" s="9">
        <v>0.2</v>
      </c>
      <c r="M37">
        <v>2800</v>
      </c>
      <c r="N37">
        <v>2070</v>
      </c>
      <c r="O37">
        <v>19</v>
      </c>
      <c r="P37" t="s">
        <v>63</v>
      </c>
      <c r="Q37" t="s">
        <v>64</v>
      </c>
      <c r="R37" t="s">
        <v>65</v>
      </c>
      <c r="S37" t="s">
        <v>165</v>
      </c>
      <c r="T37" t="s">
        <v>166</v>
      </c>
      <c r="V37" t="s">
        <v>68</v>
      </c>
      <c r="W37" t="s">
        <v>128</v>
      </c>
      <c r="X37" s="10">
        <v>45861</v>
      </c>
      <c r="Y37" s="6"/>
      <c r="Z37" s="6">
        <v>0</v>
      </c>
      <c r="AA37" s="6"/>
      <c r="AB37" s="6"/>
      <c r="AC37" s="6"/>
    </row>
    <row r="38" spans="1:29" s="4" customFormat="1" x14ac:dyDescent="0.25">
      <c r="A38" s="5">
        <v>33</v>
      </c>
      <c r="C38" t="s">
        <v>176</v>
      </c>
      <c r="D38" t="s">
        <v>177</v>
      </c>
      <c r="F38" t="s">
        <v>178</v>
      </c>
      <c r="G38" s="17">
        <v>8.2100000000000009</v>
      </c>
      <c r="H38" s="8">
        <v>0.1</v>
      </c>
      <c r="I38" s="8">
        <v>0.26</v>
      </c>
      <c r="J38" s="7">
        <f t="shared" si="0"/>
        <v>6.6829400000000003</v>
      </c>
      <c r="K38" s="5" t="s">
        <v>27</v>
      </c>
      <c r="L38" s="9">
        <v>0.2</v>
      </c>
      <c r="M38">
        <v>2800</v>
      </c>
      <c r="N38">
        <v>2070</v>
      </c>
      <c r="O38">
        <v>12</v>
      </c>
      <c r="P38" t="s">
        <v>63</v>
      </c>
      <c r="Q38" t="s">
        <v>64</v>
      </c>
      <c r="R38" t="s">
        <v>65</v>
      </c>
      <c r="S38" t="s">
        <v>165</v>
      </c>
      <c r="T38" t="s">
        <v>166</v>
      </c>
      <c r="V38" t="s">
        <v>68</v>
      </c>
      <c r="W38" t="s">
        <v>108</v>
      </c>
      <c r="X38" s="10">
        <v>45861</v>
      </c>
      <c r="Y38" s="6"/>
      <c r="Z38" s="6">
        <v>0</v>
      </c>
      <c r="AA38" s="6"/>
      <c r="AB38" s="6"/>
      <c r="AC38" s="6"/>
    </row>
    <row r="39" spans="1:29" s="4" customFormat="1" x14ac:dyDescent="0.25">
      <c r="A39" s="5">
        <v>34</v>
      </c>
      <c r="C39" t="s">
        <v>176</v>
      </c>
      <c r="D39" t="s">
        <v>179</v>
      </c>
      <c r="F39" t="s">
        <v>180</v>
      </c>
      <c r="G39" s="17">
        <v>9.35</v>
      </c>
      <c r="H39" s="8">
        <v>0.1</v>
      </c>
      <c r="I39" s="8">
        <v>0.26</v>
      </c>
      <c r="J39" s="7">
        <f t="shared" si="0"/>
        <v>7.6109</v>
      </c>
      <c r="K39" s="5" t="s">
        <v>27</v>
      </c>
      <c r="L39" s="9">
        <v>0.2</v>
      </c>
      <c r="M39">
        <v>2800</v>
      </c>
      <c r="N39">
        <v>2070</v>
      </c>
      <c r="O39">
        <v>19</v>
      </c>
      <c r="P39" t="s">
        <v>63</v>
      </c>
      <c r="Q39" t="s">
        <v>64</v>
      </c>
      <c r="R39" t="s">
        <v>65</v>
      </c>
      <c r="S39" t="s">
        <v>165</v>
      </c>
      <c r="T39" t="s">
        <v>166</v>
      </c>
      <c r="V39" t="s">
        <v>68</v>
      </c>
      <c r="W39" t="s">
        <v>108</v>
      </c>
      <c r="X39" s="10">
        <v>45861</v>
      </c>
      <c r="Y39" s="6"/>
      <c r="Z39" s="6">
        <v>0</v>
      </c>
      <c r="AA39" s="6"/>
      <c r="AB39" s="6"/>
      <c r="AC39" s="6"/>
    </row>
    <row r="40" spans="1:29" s="4" customFormat="1" x14ac:dyDescent="0.25">
      <c r="A40" s="5">
        <v>35</v>
      </c>
      <c r="C40" t="s">
        <v>176</v>
      </c>
      <c r="D40" t="s">
        <v>181</v>
      </c>
      <c r="F40" t="s">
        <v>182</v>
      </c>
      <c r="G40" s="17">
        <v>13.69</v>
      </c>
      <c r="H40" s="8"/>
      <c r="I40" s="8">
        <v>0.2</v>
      </c>
      <c r="J40" s="7">
        <f t="shared" si="0"/>
        <v>10.952</v>
      </c>
      <c r="K40" s="5" t="s">
        <v>27</v>
      </c>
      <c r="L40" s="9">
        <v>0.25</v>
      </c>
      <c r="M40">
        <v>2800</v>
      </c>
      <c r="N40">
        <v>2070</v>
      </c>
      <c r="O40">
        <v>30</v>
      </c>
      <c r="P40" t="s">
        <v>63</v>
      </c>
      <c r="Q40" t="s">
        <v>64</v>
      </c>
      <c r="R40" t="s">
        <v>65</v>
      </c>
      <c r="S40" t="s">
        <v>165</v>
      </c>
      <c r="T40" t="s">
        <v>166</v>
      </c>
      <c r="V40" t="s">
        <v>68</v>
      </c>
      <c r="W40" t="s">
        <v>108</v>
      </c>
      <c r="X40" s="10">
        <v>45861</v>
      </c>
      <c r="Y40" s="6"/>
      <c r="Z40" s="6">
        <v>0</v>
      </c>
      <c r="AA40" s="6"/>
      <c r="AB40" s="6"/>
      <c r="AC40" s="6"/>
    </row>
    <row r="41" spans="1:29" s="4" customFormat="1" x14ac:dyDescent="0.25">
      <c r="A41" s="5">
        <v>36</v>
      </c>
      <c r="C41" t="s">
        <v>129</v>
      </c>
      <c r="D41" t="s">
        <v>135</v>
      </c>
      <c r="F41" t="s">
        <v>136</v>
      </c>
      <c r="G41" s="17">
        <v>8.75</v>
      </c>
      <c r="H41" s="8">
        <v>0.1</v>
      </c>
      <c r="I41" s="8">
        <v>0.36</v>
      </c>
      <c r="J41" s="7">
        <f t="shared" si="0"/>
        <v>6.160000000000001</v>
      </c>
      <c r="K41" s="5" t="s">
        <v>27</v>
      </c>
      <c r="L41" s="9">
        <v>0.1</v>
      </c>
      <c r="M41">
        <v>2800</v>
      </c>
      <c r="N41">
        <v>2070</v>
      </c>
      <c r="O41">
        <v>19</v>
      </c>
      <c r="P41" t="s">
        <v>63</v>
      </c>
      <c r="Q41" t="s">
        <v>64</v>
      </c>
      <c r="R41" t="s">
        <v>132</v>
      </c>
      <c r="S41" t="s">
        <v>66</v>
      </c>
      <c r="T41" t="s">
        <v>67</v>
      </c>
      <c r="V41" t="s">
        <v>108</v>
      </c>
      <c r="W41" t="s">
        <v>108</v>
      </c>
      <c r="X41" s="10">
        <v>45861</v>
      </c>
      <c r="Y41" s="6"/>
      <c r="Z41" s="6">
        <v>0</v>
      </c>
      <c r="AA41" s="6"/>
      <c r="AB41" s="6"/>
      <c r="AC41" s="6"/>
    </row>
    <row r="42" spans="1:29" s="4" customFormat="1" x14ac:dyDescent="0.25">
      <c r="A42" s="5">
        <v>37</v>
      </c>
      <c r="C42" t="s">
        <v>129</v>
      </c>
      <c r="D42" t="s">
        <v>130</v>
      </c>
      <c r="F42" t="s">
        <v>131</v>
      </c>
      <c r="G42" s="17">
        <v>7.25</v>
      </c>
      <c r="H42" s="8"/>
      <c r="I42" s="8">
        <v>0.3</v>
      </c>
      <c r="J42" s="7">
        <f t="shared" si="0"/>
        <v>5.0749999999999993</v>
      </c>
      <c r="K42" s="5" t="s">
        <v>27</v>
      </c>
      <c r="L42" s="9">
        <v>0.15</v>
      </c>
      <c r="M42">
        <v>2800</v>
      </c>
      <c r="N42">
        <v>2070</v>
      </c>
      <c r="O42">
        <v>8</v>
      </c>
      <c r="P42" t="s">
        <v>63</v>
      </c>
      <c r="Q42" t="s">
        <v>64</v>
      </c>
      <c r="R42" t="s">
        <v>132</v>
      </c>
      <c r="S42" t="s">
        <v>66</v>
      </c>
      <c r="T42" t="s">
        <v>67</v>
      </c>
      <c r="V42" t="s">
        <v>108</v>
      </c>
      <c r="W42" t="s">
        <v>108</v>
      </c>
      <c r="X42" s="10">
        <v>45861</v>
      </c>
      <c r="Y42" s="6"/>
      <c r="Z42" s="6">
        <v>0</v>
      </c>
      <c r="AA42" s="6"/>
      <c r="AB42" s="6"/>
      <c r="AC42" s="6"/>
    </row>
    <row r="43" spans="1:29" s="4" customFormat="1" x14ac:dyDescent="0.25">
      <c r="A43" s="5">
        <v>38</v>
      </c>
      <c r="C43" t="s">
        <v>137</v>
      </c>
      <c r="D43" t="s">
        <v>141</v>
      </c>
      <c r="F43" t="s">
        <v>142</v>
      </c>
      <c r="G43" s="17">
        <v>8.02</v>
      </c>
      <c r="H43" s="8"/>
      <c r="I43" s="8">
        <v>0.25</v>
      </c>
      <c r="J43" s="7">
        <f t="shared" si="0"/>
        <v>6.0149999999999997</v>
      </c>
      <c r="K43" s="5" t="s">
        <v>27</v>
      </c>
      <c r="L43" s="9">
        <v>0.1</v>
      </c>
      <c r="M43">
        <v>2800</v>
      </c>
      <c r="N43">
        <v>2070</v>
      </c>
      <c r="O43">
        <v>16</v>
      </c>
      <c r="P43" t="s">
        <v>63</v>
      </c>
      <c r="Q43" t="s">
        <v>64</v>
      </c>
      <c r="R43" t="s">
        <v>140</v>
      </c>
      <c r="S43" t="s">
        <v>66</v>
      </c>
      <c r="T43" t="s">
        <v>67</v>
      </c>
      <c r="V43" t="s">
        <v>68</v>
      </c>
      <c r="W43" t="s">
        <v>108</v>
      </c>
      <c r="X43" s="10">
        <v>45861</v>
      </c>
      <c r="Y43" s="6"/>
      <c r="Z43" s="6">
        <v>0</v>
      </c>
      <c r="AA43" s="6"/>
      <c r="AB43" s="6"/>
      <c r="AC43" s="6"/>
    </row>
    <row r="44" spans="1:29" s="4" customFormat="1" x14ac:dyDescent="0.25">
      <c r="A44" s="5">
        <v>39</v>
      </c>
      <c r="C44" t="s">
        <v>137</v>
      </c>
      <c r="D44" t="s">
        <v>143</v>
      </c>
      <c r="F44" t="s">
        <v>144</v>
      </c>
      <c r="G44" s="17">
        <v>8.7899999999999991</v>
      </c>
      <c r="H44" s="8"/>
      <c r="I44" s="8">
        <v>0.25</v>
      </c>
      <c r="J44" s="7">
        <f t="shared" si="0"/>
        <v>6.5924999999999994</v>
      </c>
      <c r="K44" s="5" t="s">
        <v>27</v>
      </c>
      <c r="L44" s="9">
        <v>0.1</v>
      </c>
      <c r="M44">
        <v>2800</v>
      </c>
      <c r="N44">
        <v>2070</v>
      </c>
      <c r="O44">
        <v>19</v>
      </c>
      <c r="P44" t="s">
        <v>63</v>
      </c>
      <c r="Q44" t="s">
        <v>64</v>
      </c>
      <c r="R44" t="s">
        <v>140</v>
      </c>
      <c r="S44" t="s">
        <v>66</v>
      </c>
      <c r="T44" t="s">
        <v>67</v>
      </c>
      <c r="V44" t="s">
        <v>68</v>
      </c>
      <c r="W44" t="s">
        <v>108</v>
      </c>
      <c r="X44" s="10">
        <v>45861</v>
      </c>
      <c r="Y44" s="6"/>
      <c r="Z44" s="6">
        <v>0</v>
      </c>
      <c r="AA44" s="6"/>
      <c r="AB44" s="6"/>
      <c r="AC44" s="6"/>
    </row>
    <row r="45" spans="1:29" s="4" customFormat="1" x14ac:dyDescent="0.25">
      <c r="A45" s="5">
        <v>40</v>
      </c>
      <c r="C45" t="s">
        <v>137</v>
      </c>
      <c r="D45" t="s">
        <v>138</v>
      </c>
      <c r="F45" t="s">
        <v>139</v>
      </c>
      <c r="G45" s="17">
        <v>7.25</v>
      </c>
      <c r="H45" s="8"/>
      <c r="I45" s="8">
        <v>0.25</v>
      </c>
      <c r="J45" s="7">
        <f t="shared" si="0"/>
        <v>5.4375</v>
      </c>
      <c r="K45" s="5" t="s">
        <v>27</v>
      </c>
      <c r="L45" s="9">
        <v>0.15</v>
      </c>
      <c r="M45">
        <v>2800</v>
      </c>
      <c r="N45">
        <v>2070</v>
      </c>
      <c r="O45">
        <v>8</v>
      </c>
      <c r="P45" t="s">
        <v>63</v>
      </c>
      <c r="Q45" t="s">
        <v>64</v>
      </c>
      <c r="R45" t="s">
        <v>140</v>
      </c>
      <c r="S45" t="s">
        <v>66</v>
      </c>
      <c r="T45" t="s">
        <v>67</v>
      </c>
      <c r="V45" t="s">
        <v>68</v>
      </c>
      <c r="W45" t="s">
        <v>108</v>
      </c>
      <c r="X45" s="10">
        <v>45861</v>
      </c>
      <c r="Y45" s="6"/>
      <c r="Z45" s="6">
        <v>0</v>
      </c>
      <c r="AA45" s="6"/>
      <c r="AB45" s="6"/>
      <c r="AC45" s="6"/>
    </row>
    <row r="46" spans="1:29" s="4" customFormat="1" x14ac:dyDescent="0.25">
      <c r="A46" s="5">
        <v>41</v>
      </c>
      <c r="C46" t="s">
        <v>215</v>
      </c>
      <c r="D46" t="s">
        <v>218</v>
      </c>
      <c r="F46" t="s">
        <v>219</v>
      </c>
      <c r="G46" s="17">
        <v>5.87</v>
      </c>
      <c r="H46" s="8"/>
      <c r="I46" s="8">
        <v>0.2</v>
      </c>
      <c r="J46" s="7">
        <f t="shared" si="0"/>
        <v>4.6960000000000006</v>
      </c>
      <c r="K46" s="5" t="s">
        <v>27</v>
      </c>
      <c r="L46" s="9">
        <v>0.2</v>
      </c>
      <c r="M46">
        <v>2800</v>
      </c>
      <c r="N46">
        <v>2070</v>
      </c>
      <c r="O46">
        <v>8</v>
      </c>
      <c r="P46" t="s">
        <v>63</v>
      </c>
      <c r="Q46" t="s">
        <v>64</v>
      </c>
      <c r="S46" t="s">
        <v>165</v>
      </c>
      <c r="T46" t="s">
        <v>166</v>
      </c>
      <c r="V46" t="s">
        <v>68</v>
      </c>
      <c r="W46" t="s">
        <v>128</v>
      </c>
      <c r="X46" s="10">
        <v>45861</v>
      </c>
      <c r="Y46" s="6"/>
      <c r="Z46" s="5">
        <v>1</v>
      </c>
      <c r="AA46" s="6"/>
      <c r="AB46" s="6"/>
      <c r="AC46" s="6"/>
    </row>
    <row r="47" spans="1:29" s="4" customFormat="1" x14ac:dyDescent="0.25">
      <c r="A47" s="5">
        <v>42</v>
      </c>
      <c r="C47" t="s">
        <v>215</v>
      </c>
      <c r="D47" t="s">
        <v>216</v>
      </c>
      <c r="F47" t="s">
        <v>217</v>
      </c>
      <c r="G47" s="17">
        <v>8.17</v>
      </c>
      <c r="H47" s="8"/>
      <c r="I47" s="8">
        <v>0.2</v>
      </c>
      <c r="J47" s="7">
        <f t="shared" si="0"/>
        <v>6.5360000000000005</v>
      </c>
      <c r="K47" s="5" t="s">
        <v>27</v>
      </c>
      <c r="L47" s="9">
        <v>0.2</v>
      </c>
      <c r="M47">
        <v>2800</v>
      </c>
      <c r="N47">
        <v>2070</v>
      </c>
      <c r="O47">
        <v>19</v>
      </c>
      <c r="P47" t="s">
        <v>63</v>
      </c>
      <c r="Q47" t="s">
        <v>64</v>
      </c>
      <c r="S47" t="s">
        <v>165</v>
      </c>
      <c r="T47" t="s">
        <v>166</v>
      </c>
      <c r="V47" t="s">
        <v>68</v>
      </c>
      <c r="W47" t="s">
        <v>128</v>
      </c>
      <c r="X47" s="10">
        <v>45861</v>
      </c>
      <c r="Y47" s="6"/>
      <c r="Z47" s="5">
        <v>1</v>
      </c>
      <c r="AA47" s="6"/>
      <c r="AB47" s="6"/>
      <c r="AC47" s="6"/>
    </row>
    <row r="48" spans="1:29" s="4" customFormat="1" x14ac:dyDescent="0.25">
      <c r="A48" s="5">
        <v>43</v>
      </c>
      <c r="C48" t="s">
        <v>260</v>
      </c>
      <c r="D48" t="s">
        <v>263</v>
      </c>
      <c r="F48" t="s">
        <v>264</v>
      </c>
      <c r="G48" s="17">
        <v>20.2</v>
      </c>
      <c r="H48" s="8"/>
      <c r="I48" s="8">
        <v>0.2</v>
      </c>
      <c r="J48" s="7">
        <f t="shared" si="0"/>
        <v>16.16</v>
      </c>
      <c r="K48" s="5" t="s">
        <v>27</v>
      </c>
      <c r="L48" s="9">
        <v>0.2</v>
      </c>
      <c r="M48">
        <v>2800</v>
      </c>
      <c r="N48">
        <v>2070</v>
      </c>
      <c r="O48">
        <v>8</v>
      </c>
      <c r="P48" t="s">
        <v>63</v>
      </c>
      <c r="Q48" t="s">
        <v>64</v>
      </c>
      <c r="S48" t="s">
        <v>165</v>
      </c>
      <c r="T48" t="s">
        <v>166</v>
      </c>
      <c r="V48" t="s">
        <v>68</v>
      </c>
      <c r="W48" t="s">
        <v>128</v>
      </c>
      <c r="X48" s="10">
        <v>45861</v>
      </c>
      <c r="Y48" s="6"/>
      <c r="Z48" s="5">
        <v>1</v>
      </c>
      <c r="AA48" s="6"/>
      <c r="AB48" s="6"/>
      <c r="AC48" s="6"/>
    </row>
    <row r="49" spans="1:29" s="4" customFormat="1" x14ac:dyDescent="0.25">
      <c r="A49" s="5">
        <v>44</v>
      </c>
      <c r="C49" t="s">
        <v>260</v>
      </c>
      <c r="D49" t="s">
        <v>261</v>
      </c>
      <c r="F49" t="s">
        <v>262</v>
      </c>
      <c r="G49" s="17">
        <v>22.86</v>
      </c>
      <c r="H49" s="8"/>
      <c r="I49" s="8">
        <v>0.2</v>
      </c>
      <c r="J49" s="7">
        <f t="shared" si="0"/>
        <v>18.288</v>
      </c>
      <c r="K49" s="5" t="s">
        <v>27</v>
      </c>
      <c r="L49" s="9">
        <v>0.2</v>
      </c>
      <c r="M49">
        <v>2800</v>
      </c>
      <c r="N49">
        <v>2070</v>
      </c>
      <c r="O49">
        <v>19</v>
      </c>
      <c r="P49" t="s">
        <v>63</v>
      </c>
      <c r="Q49" t="s">
        <v>64</v>
      </c>
      <c r="S49" t="s">
        <v>165</v>
      </c>
      <c r="T49" t="s">
        <v>166</v>
      </c>
      <c r="V49" t="s">
        <v>68</v>
      </c>
      <c r="W49" t="s">
        <v>128</v>
      </c>
      <c r="X49" s="10">
        <v>45861</v>
      </c>
      <c r="Y49" s="6"/>
      <c r="Z49" s="5">
        <v>1</v>
      </c>
      <c r="AA49" s="6"/>
      <c r="AB49" s="6"/>
      <c r="AC49" s="6"/>
    </row>
    <row r="50" spans="1:29" s="4" customFormat="1" x14ac:dyDescent="0.25">
      <c r="A50" s="5">
        <v>45</v>
      </c>
      <c r="C50" t="s">
        <v>220</v>
      </c>
      <c r="D50" t="s">
        <v>223</v>
      </c>
      <c r="F50" t="s">
        <v>224</v>
      </c>
      <c r="G50" s="17">
        <v>6.45</v>
      </c>
      <c r="H50" s="8"/>
      <c r="I50" s="8">
        <v>0.2</v>
      </c>
      <c r="J50" s="7">
        <f t="shared" si="0"/>
        <v>5.16</v>
      </c>
      <c r="K50" s="5" t="s">
        <v>27</v>
      </c>
      <c r="L50" s="9">
        <v>0.2</v>
      </c>
      <c r="M50">
        <v>2800</v>
      </c>
      <c r="N50">
        <v>2070</v>
      </c>
      <c r="O50">
        <v>8</v>
      </c>
      <c r="P50" t="s">
        <v>63</v>
      </c>
      <c r="Q50" t="s">
        <v>64</v>
      </c>
      <c r="S50" t="s">
        <v>165</v>
      </c>
      <c r="T50" t="s">
        <v>166</v>
      </c>
      <c r="V50" t="s">
        <v>68</v>
      </c>
      <c r="W50" t="s">
        <v>128</v>
      </c>
      <c r="X50" s="10">
        <v>45861</v>
      </c>
      <c r="Y50" s="6"/>
      <c r="Z50" s="5">
        <v>1</v>
      </c>
      <c r="AA50" s="6"/>
      <c r="AB50" s="6"/>
      <c r="AC50" s="6"/>
    </row>
    <row r="51" spans="1:29" s="4" customFormat="1" x14ac:dyDescent="0.25">
      <c r="A51" s="5">
        <v>46</v>
      </c>
      <c r="C51" t="s">
        <v>220</v>
      </c>
      <c r="D51" t="s">
        <v>221</v>
      </c>
      <c r="F51" t="s">
        <v>222</v>
      </c>
      <c r="G51" s="17">
        <v>8.75</v>
      </c>
      <c r="H51" s="8"/>
      <c r="I51" s="8">
        <v>0.2</v>
      </c>
      <c r="J51" s="7">
        <f t="shared" si="0"/>
        <v>7</v>
      </c>
      <c r="K51" s="5" t="s">
        <v>27</v>
      </c>
      <c r="L51" s="9">
        <v>0.2</v>
      </c>
      <c r="M51">
        <v>2800</v>
      </c>
      <c r="N51">
        <v>2070</v>
      </c>
      <c r="O51">
        <v>19</v>
      </c>
      <c r="P51" t="s">
        <v>63</v>
      </c>
      <c r="Q51" t="s">
        <v>64</v>
      </c>
      <c r="S51" t="s">
        <v>165</v>
      </c>
      <c r="T51" t="s">
        <v>166</v>
      </c>
      <c r="V51" t="s">
        <v>68</v>
      </c>
      <c r="W51" t="s">
        <v>128</v>
      </c>
      <c r="X51" s="10">
        <v>45861</v>
      </c>
      <c r="Y51" s="6"/>
      <c r="Z51" s="5">
        <v>1</v>
      </c>
      <c r="AA51" s="6"/>
      <c r="AB51" s="6"/>
      <c r="AC51" s="6"/>
    </row>
    <row r="52" spans="1:29" s="4" customFormat="1" x14ac:dyDescent="0.25">
      <c r="A52" s="5">
        <v>47</v>
      </c>
      <c r="C52" t="s">
        <v>225</v>
      </c>
      <c r="D52" t="s">
        <v>228</v>
      </c>
      <c r="F52" t="s">
        <v>229</v>
      </c>
      <c r="G52" s="17">
        <v>8.77</v>
      </c>
      <c r="H52" s="8"/>
      <c r="I52" s="8">
        <v>0.2</v>
      </c>
      <c r="J52" s="7">
        <f t="shared" si="0"/>
        <v>7.016</v>
      </c>
      <c r="K52" s="5" t="s">
        <v>27</v>
      </c>
      <c r="L52" s="9">
        <v>0.2</v>
      </c>
      <c r="M52">
        <v>2800</v>
      </c>
      <c r="N52">
        <v>2070</v>
      </c>
      <c r="O52">
        <v>8</v>
      </c>
      <c r="P52" t="s">
        <v>63</v>
      </c>
      <c r="Q52" t="s">
        <v>64</v>
      </c>
      <c r="S52" t="s">
        <v>165</v>
      </c>
      <c r="T52" t="s">
        <v>166</v>
      </c>
      <c r="V52" t="s">
        <v>68</v>
      </c>
      <c r="W52" t="s">
        <v>128</v>
      </c>
      <c r="X52" s="10">
        <v>45861</v>
      </c>
      <c r="Y52" s="6"/>
      <c r="Z52" s="5">
        <v>1</v>
      </c>
      <c r="AA52" s="6"/>
      <c r="AB52" s="6"/>
      <c r="AC52" s="6"/>
    </row>
    <row r="53" spans="1:29" s="4" customFormat="1" x14ac:dyDescent="0.25">
      <c r="A53" s="5">
        <v>48</v>
      </c>
      <c r="C53" t="s">
        <v>225</v>
      </c>
      <c r="D53" t="s">
        <v>226</v>
      </c>
      <c r="F53" t="s">
        <v>227</v>
      </c>
      <c r="G53" s="17">
        <v>11.64</v>
      </c>
      <c r="H53" s="8"/>
      <c r="I53" s="8">
        <v>0.2</v>
      </c>
      <c r="J53" s="7">
        <f t="shared" si="0"/>
        <v>9.3120000000000012</v>
      </c>
      <c r="K53" s="5" t="s">
        <v>27</v>
      </c>
      <c r="L53" s="9">
        <v>0.2</v>
      </c>
      <c r="M53">
        <v>2800</v>
      </c>
      <c r="N53">
        <v>2070</v>
      </c>
      <c r="O53">
        <v>19</v>
      </c>
      <c r="P53" t="s">
        <v>63</v>
      </c>
      <c r="Q53" t="s">
        <v>64</v>
      </c>
      <c r="S53" t="s">
        <v>165</v>
      </c>
      <c r="T53" t="s">
        <v>166</v>
      </c>
      <c r="V53" t="s">
        <v>68</v>
      </c>
      <c r="W53" t="s">
        <v>128</v>
      </c>
      <c r="X53" s="10">
        <v>45861</v>
      </c>
      <c r="Y53" s="6"/>
      <c r="Z53" s="5">
        <v>1</v>
      </c>
      <c r="AA53" s="6"/>
      <c r="AB53" s="6"/>
      <c r="AC53" s="6"/>
    </row>
    <row r="54" spans="1:29" s="4" customFormat="1" x14ac:dyDescent="0.25">
      <c r="A54" s="5">
        <v>49</v>
      </c>
      <c r="C54" t="s">
        <v>230</v>
      </c>
      <c r="D54" t="s">
        <v>233</v>
      </c>
      <c r="F54" t="s">
        <v>234</v>
      </c>
      <c r="G54" s="17">
        <v>10.5</v>
      </c>
      <c r="H54" s="8"/>
      <c r="I54" s="8">
        <v>0.2</v>
      </c>
      <c r="J54" s="7">
        <f t="shared" si="0"/>
        <v>8.4</v>
      </c>
      <c r="K54" s="5" t="s">
        <v>27</v>
      </c>
      <c r="L54" s="9">
        <v>0.2</v>
      </c>
      <c r="M54">
        <v>2800</v>
      </c>
      <c r="N54">
        <v>2070</v>
      </c>
      <c r="O54">
        <v>8</v>
      </c>
      <c r="P54" t="s">
        <v>63</v>
      </c>
      <c r="Q54" t="s">
        <v>64</v>
      </c>
      <c r="S54" t="s">
        <v>165</v>
      </c>
      <c r="T54" t="s">
        <v>166</v>
      </c>
      <c r="V54" t="s">
        <v>68</v>
      </c>
      <c r="W54" t="s">
        <v>128</v>
      </c>
      <c r="X54" s="10">
        <v>45861</v>
      </c>
      <c r="Y54" s="6"/>
      <c r="Z54" s="5">
        <v>1</v>
      </c>
      <c r="AA54" s="6"/>
      <c r="AB54" s="6"/>
      <c r="AC54" s="6"/>
    </row>
    <row r="55" spans="1:29" s="4" customFormat="1" x14ac:dyDescent="0.25">
      <c r="A55" s="5">
        <v>50</v>
      </c>
      <c r="C55" t="s">
        <v>230</v>
      </c>
      <c r="D55" t="s">
        <v>231</v>
      </c>
      <c r="F55" t="s">
        <v>232</v>
      </c>
      <c r="G55" s="17">
        <v>13.34</v>
      </c>
      <c r="H55" s="8"/>
      <c r="I55" s="8">
        <v>0.2</v>
      </c>
      <c r="J55" s="7">
        <f t="shared" si="0"/>
        <v>10.672000000000001</v>
      </c>
      <c r="K55" s="5" t="s">
        <v>27</v>
      </c>
      <c r="L55" s="9">
        <v>0.2</v>
      </c>
      <c r="M55">
        <v>2800</v>
      </c>
      <c r="N55">
        <v>2070</v>
      </c>
      <c r="O55">
        <v>19</v>
      </c>
      <c r="P55" t="s">
        <v>63</v>
      </c>
      <c r="Q55" t="s">
        <v>64</v>
      </c>
      <c r="S55" t="s">
        <v>165</v>
      </c>
      <c r="T55" t="s">
        <v>166</v>
      </c>
      <c r="V55" t="s">
        <v>68</v>
      </c>
      <c r="W55" t="s">
        <v>128</v>
      </c>
      <c r="X55" s="10">
        <v>45861</v>
      </c>
      <c r="Y55" s="6"/>
      <c r="Z55" s="5">
        <v>1</v>
      </c>
      <c r="AA55" s="6"/>
      <c r="AB55" s="6"/>
      <c r="AC55" s="6"/>
    </row>
    <row r="56" spans="1:29" s="4" customFormat="1" x14ac:dyDescent="0.25">
      <c r="A56" s="5">
        <v>51</v>
      </c>
      <c r="C56" t="s">
        <v>235</v>
      </c>
      <c r="D56" t="s">
        <v>238</v>
      </c>
      <c r="F56" t="s">
        <v>239</v>
      </c>
      <c r="G56" s="17">
        <v>12.45</v>
      </c>
      <c r="H56" s="8"/>
      <c r="I56" s="8">
        <v>0.2</v>
      </c>
      <c r="J56" s="7">
        <f t="shared" si="0"/>
        <v>9.9600000000000009</v>
      </c>
      <c r="K56" s="5" t="s">
        <v>27</v>
      </c>
      <c r="L56" s="9">
        <v>0.2</v>
      </c>
      <c r="M56">
        <v>2800</v>
      </c>
      <c r="N56">
        <v>2070</v>
      </c>
      <c r="O56">
        <v>8</v>
      </c>
      <c r="P56" t="s">
        <v>63</v>
      </c>
      <c r="Q56" t="s">
        <v>64</v>
      </c>
      <c r="S56" t="s">
        <v>165</v>
      </c>
      <c r="T56" t="s">
        <v>166</v>
      </c>
      <c r="V56" t="s">
        <v>68</v>
      </c>
      <c r="W56" t="s">
        <v>128</v>
      </c>
      <c r="X56" s="10">
        <v>45861</v>
      </c>
      <c r="Y56" s="6"/>
      <c r="Z56" s="5">
        <v>1</v>
      </c>
      <c r="AA56" s="6"/>
      <c r="AB56" s="6"/>
      <c r="AC56" s="6"/>
    </row>
    <row r="57" spans="1:29" s="4" customFormat="1" x14ac:dyDescent="0.25">
      <c r="A57" s="5">
        <v>52</v>
      </c>
      <c r="C57" t="s">
        <v>235</v>
      </c>
      <c r="D57" t="s">
        <v>236</v>
      </c>
      <c r="F57" t="s">
        <v>237</v>
      </c>
      <c r="G57" s="17">
        <v>15.25</v>
      </c>
      <c r="H57" s="8"/>
      <c r="I57" s="8">
        <v>0.2</v>
      </c>
      <c r="J57" s="7">
        <f t="shared" si="0"/>
        <v>12.200000000000001</v>
      </c>
      <c r="K57" s="5" t="s">
        <v>27</v>
      </c>
      <c r="L57" s="9">
        <v>0.2</v>
      </c>
      <c r="M57">
        <v>2800</v>
      </c>
      <c r="N57">
        <v>2070</v>
      </c>
      <c r="O57">
        <v>19</v>
      </c>
      <c r="P57" t="s">
        <v>63</v>
      </c>
      <c r="Q57" t="s">
        <v>64</v>
      </c>
      <c r="S57" t="s">
        <v>165</v>
      </c>
      <c r="T57" t="s">
        <v>166</v>
      </c>
      <c r="V57" t="s">
        <v>68</v>
      </c>
      <c r="W57" t="s">
        <v>128</v>
      </c>
      <c r="X57" s="10">
        <v>45861</v>
      </c>
      <c r="Y57" s="6"/>
      <c r="Z57" s="5">
        <v>1</v>
      </c>
      <c r="AA57" s="6"/>
      <c r="AB57" s="6"/>
      <c r="AC57" s="6"/>
    </row>
    <row r="58" spans="1:29" s="4" customFormat="1" x14ac:dyDescent="0.25">
      <c r="A58" s="5">
        <v>53</v>
      </c>
      <c r="C58" t="s">
        <v>240</v>
      </c>
      <c r="D58" t="s">
        <v>243</v>
      </c>
      <c r="F58" t="s">
        <v>244</v>
      </c>
      <c r="G58" s="17">
        <v>13.04</v>
      </c>
      <c r="H58" s="8"/>
      <c r="I58" s="8">
        <v>0.2</v>
      </c>
      <c r="J58" s="7">
        <f t="shared" si="0"/>
        <v>10.432</v>
      </c>
      <c r="K58" s="5" t="s">
        <v>27</v>
      </c>
      <c r="L58" s="9">
        <v>0.2</v>
      </c>
      <c r="M58">
        <v>2800</v>
      </c>
      <c r="N58">
        <v>2070</v>
      </c>
      <c r="O58">
        <v>8</v>
      </c>
      <c r="P58" t="s">
        <v>63</v>
      </c>
      <c r="Q58" t="s">
        <v>64</v>
      </c>
      <c r="S58" t="s">
        <v>165</v>
      </c>
      <c r="T58" t="s">
        <v>166</v>
      </c>
      <c r="V58" t="s">
        <v>68</v>
      </c>
      <c r="W58" t="s">
        <v>128</v>
      </c>
      <c r="X58" s="10">
        <v>45861</v>
      </c>
      <c r="Y58" s="6"/>
      <c r="Z58" s="5">
        <v>1</v>
      </c>
      <c r="AA58" s="6"/>
      <c r="AB58" s="6"/>
      <c r="AC58" s="6"/>
    </row>
    <row r="59" spans="1:29" s="4" customFormat="1" x14ac:dyDescent="0.25">
      <c r="A59" s="5">
        <v>54</v>
      </c>
      <c r="C59" t="s">
        <v>240</v>
      </c>
      <c r="D59" t="s">
        <v>241</v>
      </c>
      <c r="F59" t="s">
        <v>242</v>
      </c>
      <c r="G59" s="17">
        <v>15.82</v>
      </c>
      <c r="H59" s="8"/>
      <c r="I59" s="8">
        <v>0.2</v>
      </c>
      <c r="J59" s="7">
        <f t="shared" si="0"/>
        <v>12.656000000000001</v>
      </c>
      <c r="K59" s="5" t="s">
        <v>27</v>
      </c>
      <c r="L59" s="9">
        <v>0.2</v>
      </c>
      <c r="M59">
        <v>2800</v>
      </c>
      <c r="N59">
        <v>2070</v>
      </c>
      <c r="O59">
        <v>19</v>
      </c>
      <c r="P59" t="s">
        <v>63</v>
      </c>
      <c r="Q59" t="s">
        <v>64</v>
      </c>
      <c r="S59" t="s">
        <v>165</v>
      </c>
      <c r="T59" t="s">
        <v>166</v>
      </c>
      <c r="V59" t="s">
        <v>68</v>
      </c>
      <c r="W59" t="s">
        <v>128</v>
      </c>
      <c r="X59" s="10">
        <v>45861</v>
      </c>
      <c r="Y59" s="6"/>
      <c r="Z59" s="5">
        <v>1</v>
      </c>
      <c r="AA59" s="6"/>
      <c r="AB59" s="6"/>
      <c r="AC59" s="6"/>
    </row>
    <row r="60" spans="1:29" s="4" customFormat="1" x14ac:dyDescent="0.25">
      <c r="A60" s="5">
        <v>55</v>
      </c>
      <c r="C60" t="s">
        <v>245</v>
      </c>
      <c r="D60" t="s">
        <v>248</v>
      </c>
      <c r="F60" t="s">
        <v>249</v>
      </c>
      <c r="G60" s="17">
        <v>13.69</v>
      </c>
      <c r="H60" s="8"/>
      <c r="I60" s="8">
        <v>0.2</v>
      </c>
      <c r="J60" s="7">
        <f t="shared" si="0"/>
        <v>10.952</v>
      </c>
      <c r="K60" s="5" t="s">
        <v>27</v>
      </c>
      <c r="L60" s="9">
        <v>0.2</v>
      </c>
      <c r="M60">
        <v>2800</v>
      </c>
      <c r="N60">
        <v>2070</v>
      </c>
      <c r="O60">
        <v>8</v>
      </c>
      <c r="P60" t="s">
        <v>63</v>
      </c>
      <c r="Q60" t="s">
        <v>64</v>
      </c>
      <c r="S60" t="s">
        <v>165</v>
      </c>
      <c r="T60" t="s">
        <v>166</v>
      </c>
      <c r="V60" t="s">
        <v>68</v>
      </c>
      <c r="W60" t="s">
        <v>128</v>
      </c>
      <c r="X60" s="10">
        <v>45861</v>
      </c>
      <c r="Y60" s="6"/>
      <c r="Z60" s="5">
        <v>1</v>
      </c>
      <c r="AA60" s="6"/>
      <c r="AB60" s="6"/>
      <c r="AC60" s="6"/>
    </row>
    <row r="61" spans="1:29" s="4" customFormat="1" x14ac:dyDescent="0.25">
      <c r="A61" s="5">
        <v>56</v>
      </c>
      <c r="C61" t="s">
        <v>245</v>
      </c>
      <c r="D61" t="s">
        <v>246</v>
      </c>
      <c r="F61" t="s">
        <v>247</v>
      </c>
      <c r="G61" s="17">
        <v>16.46</v>
      </c>
      <c r="H61" s="8"/>
      <c r="I61" s="8">
        <v>0.2</v>
      </c>
      <c r="J61" s="7">
        <f t="shared" si="0"/>
        <v>13.168000000000001</v>
      </c>
      <c r="K61" s="5" t="s">
        <v>27</v>
      </c>
      <c r="L61" s="9">
        <v>0.2</v>
      </c>
      <c r="M61">
        <v>2800</v>
      </c>
      <c r="N61">
        <v>2070</v>
      </c>
      <c r="O61">
        <v>19</v>
      </c>
      <c r="P61" t="s">
        <v>63</v>
      </c>
      <c r="Q61" t="s">
        <v>64</v>
      </c>
      <c r="S61" t="s">
        <v>165</v>
      </c>
      <c r="T61" t="s">
        <v>166</v>
      </c>
      <c r="V61" t="s">
        <v>68</v>
      </c>
      <c r="W61" t="s">
        <v>128</v>
      </c>
      <c r="X61" s="10">
        <v>45861</v>
      </c>
      <c r="Y61" s="6"/>
      <c r="Z61" s="5">
        <v>1</v>
      </c>
      <c r="AA61" s="6"/>
      <c r="AB61" s="6"/>
      <c r="AC61" s="6"/>
    </row>
    <row r="62" spans="1:29" s="4" customFormat="1" x14ac:dyDescent="0.25">
      <c r="A62" s="5">
        <v>57</v>
      </c>
      <c r="C62" t="s">
        <v>250</v>
      </c>
      <c r="D62" t="s">
        <v>253</v>
      </c>
      <c r="F62" t="s">
        <v>254</v>
      </c>
      <c r="G62" s="17">
        <v>16.05</v>
      </c>
      <c r="H62" s="8"/>
      <c r="I62" s="8">
        <v>0.2</v>
      </c>
      <c r="J62" s="7">
        <f t="shared" si="0"/>
        <v>12.840000000000002</v>
      </c>
      <c r="K62" s="5" t="s">
        <v>27</v>
      </c>
      <c r="L62" s="9">
        <v>0.2</v>
      </c>
      <c r="M62">
        <v>2800</v>
      </c>
      <c r="N62">
        <v>2070</v>
      </c>
      <c r="O62">
        <v>8</v>
      </c>
      <c r="P62" t="s">
        <v>63</v>
      </c>
      <c r="Q62" t="s">
        <v>64</v>
      </c>
      <c r="S62" t="s">
        <v>165</v>
      </c>
      <c r="T62" t="s">
        <v>166</v>
      </c>
      <c r="V62" t="s">
        <v>68</v>
      </c>
      <c r="W62" t="s">
        <v>128</v>
      </c>
      <c r="X62" s="10">
        <v>45861</v>
      </c>
      <c r="Y62" s="6"/>
      <c r="Z62" s="5">
        <v>1</v>
      </c>
      <c r="AA62" s="6"/>
      <c r="AB62" s="6"/>
      <c r="AC62" s="6"/>
    </row>
    <row r="63" spans="1:29" s="4" customFormat="1" x14ac:dyDescent="0.25">
      <c r="A63" s="5">
        <v>58</v>
      </c>
      <c r="C63" t="s">
        <v>250</v>
      </c>
      <c r="D63" t="s">
        <v>251</v>
      </c>
      <c r="F63" t="s">
        <v>252</v>
      </c>
      <c r="G63" s="17">
        <v>18.78</v>
      </c>
      <c r="H63" s="8"/>
      <c r="I63" s="8">
        <v>0.2</v>
      </c>
      <c r="J63" s="7">
        <f t="shared" si="0"/>
        <v>15.024000000000001</v>
      </c>
      <c r="K63" s="5" t="s">
        <v>27</v>
      </c>
      <c r="L63" s="9">
        <v>0.2</v>
      </c>
      <c r="M63">
        <v>2800</v>
      </c>
      <c r="N63">
        <v>2070</v>
      </c>
      <c r="O63">
        <v>19</v>
      </c>
      <c r="P63" t="s">
        <v>63</v>
      </c>
      <c r="Q63" t="s">
        <v>64</v>
      </c>
      <c r="S63" t="s">
        <v>165</v>
      </c>
      <c r="T63" t="s">
        <v>166</v>
      </c>
      <c r="V63" t="s">
        <v>68</v>
      </c>
      <c r="W63" t="s">
        <v>128</v>
      </c>
      <c r="X63" s="10">
        <v>45861</v>
      </c>
      <c r="Y63" s="6"/>
      <c r="Z63" s="5">
        <v>1</v>
      </c>
      <c r="AA63" s="6"/>
      <c r="AB63" s="6"/>
      <c r="AC63" s="6"/>
    </row>
    <row r="64" spans="1:29" s="4" customFormat="1" x14ac:dyDescent="0.25">
      <c r="A64" s="5">
        <v>59</v>
      </c>
      <c r="C64" t="s">
        <v>255</v>
      </c>
      <c r="D64" t="s">
        <v>258</v>
      </c>
      <c r="F64" t="s">
        <v>259</v>
      </c>
      <c r="G64" s="17">
        <v>18.43</v>
      </c>
      <c r="H64" s="8"/>
      <c r="I64" s="8">
        <v>0.2</v>
      </c>
      <c r="J64" s="7">
        <f t="shared" si="0"/>
        <v>14.744</v>
      </c>
      <c r="K64" s="5" t="s">
        <v>27</v>
      </c>
      <c r="L64" s="9">
        <v>0.2</v>
      </c>
      <c r="M64">
        <v>2800</v>
      </c>
      <c r="N64">
        <v>2070</v>
      </c>
      <c r="O64">
        <v>8</v>
      </c>
      <c r="P64" t="s">
        <v>63</v>
      </c>
      <c r="Q64" t="s">
        <v>64</v>
      </c>
      <c r="S64" t="s">
        <v>165</v>
      </c>
      <c r="T64" t="s">
        <v>166</v>
      </c>
      <c r="V64" t="s">
        <v>68</v>
      </c>
      <c r="W64" t="s">
        <v>128</v>
      </c>
      <c r="X64" s="10">
        <v>45861</v>
      </c>
      <c r="Y64" s="6"/>
      <c r="Z64" s="5">
        <v>1</v>
      </c>
      <c r="AA64" s="6"/>
      <c r="AB64" s="6"/>
      <c r="AC64" s="6"/>
    </row>
    <row r="65" spans="1:29" s="4" customFormat="1" x14ac:dyDescent="0.25">
      <c r="A65" s="5">
        <v>60</v>
      </c>
      <c r="C65" t="s">
        <v>255</v>
      </c>
      <c r="D65" t="s">
        <v>256</v>
      </c>
      <c r="F65" t="s">
        <v>257</v>
      </c>
      <c r="G65" s="17">
        <v>21.12</v>
      </c>
      <c r="H65" s="8"/>
      <c r="I65" s="8">
        <v>0.2</v>
      </c>
      <c r="J65" s="7">
        <f t="shared" si="0"/>
        <v>16.896000000000001</v>
      </c>
      <c r="K65" s="5" t="s">
        <v>27</v>
      </c>
      <c r="L65" s="9">
        <v>0.2</v>
      </c>
      <c r="M65">
        <v>2800</v>
      </c>
      <c r="N65">
        <v>2070</v>
      </c>
      <c r="O65">
        <v>19</v>
      </c>
      <c r="P65" t="s">
        <v>63</v>
      </c>
      <c r="Q65" t="s">
        <v>64</v>
      </c>
      <c r="S65" t="s">
        <v>165</v>
      </c>
      <c r="T65" t="s">
        <v>166</v>
      </c>
      <c r="V65" t="s">
        <v>68</v>
      </c>
      <c r="W65" t="s">
        <v>128</v>
      </c>
      <c r="X65" s="10">
        <v>45861</v>
      </c>
      <c r="Y65" s="6"/>
      <c r="Z65" s="5">
        <v>1</v>
      </c>
      <c r="AA65" s="6"/>
      <c r="AB65" s="6"/>
      <c r="AC65" s="6"/>
    </row>
    <row r="66" spans="1:29" s="4" customFormat="1" x14ac:dyDescent="0.25">
      <c r="A66" s="5">
        <v>61</v>
      </c>
      <c r="C66" t="s">
        <v>145</v>
      </c>
      <c r="D66" t="s">
        <v>146</v>
      </c>
      <c r="F66" t="s">
        <v>147</v>
      </c>
      <c r="G66" s="17">
        <v>7.87</v>
      </c>
      <c r="H66" s="8">
        <v>0.05</v>
      </c>
      <c r="I66" s="8">
        <v>0.36</v>
      </c>
      <c r="J66" s="7">
        <f t="shared" si="0"/>
        <v>5.2886400000000009</v>
      </c>
      <c r="K66" s="5" t="s">
        <v>27</v>
      </c>
      <c r="L66" s="9">
        <v>0.2</v>
      </c>
      <c r="M66">
        <v>2440</v>
      </c>
      <c r="N66">
        <v>2100</v>
      </c>
      <c r="O66">
        <v>10</v>
      </c>
      <c r="P66" t="s">
        <v>63</v>
      </c>
      <c r="Q66" t="s">
        <v>64</v>
      </c>
      <c r="R66" t="s">
        <v>148</v>
      </c>
      <c r="S66" t="s">
        <v>66</v>
      </c>
      <c r="T66" t="s">
        <v>67</v>
      </c>
      <c r="V66" t="s">
        <v>68</v>
      </c>
      <c r="W66" t="s">
        <v>104</v>
      </c>
      <c r="X66" s="10">
        <v>45861</v>
      </c>
      <c r="Y66" s="6"/>
      <c r="Z66" s="6">
        <v>0</v>
      </c>
      <c r="AA66" s="6"/>
      <c r="AB66" s="6"/>
      <c r="AC66" s="6"/>
    </row>
    <row r="67" spans="1:29" s="4" customFormat="1" x14ac:dyDescent="0.25">
      <c r="A67" s="5">
        <v>62</v>
      </c>
      <c r="C67" t="s">
        <v>145</v>
      </c>
      <c r="D67" t="s">
        <v>149</v>
      </c>
      <c r="F67" t="s">
        <v>150</v>
      </c>
      <c r="G67" s="17">
        <v>8.4600000000000009</v>
      </c>
      <c r="H67" s="8">
        <v>0.05</v>
      </c>
      <c r="I67" s="8">
        <v>0.36</v>
      </c>
      <c r="J67" s="7">
        <f t="shared" si="0"/>
        <v>5.6851200000000004</v>
      </c>
      <c r="K67" s="5" t="s">
        <v>27</v>
      </c>
      <c r="L67" s="9">
        <v>0.15</v>
      </c>
      <c r="M67">
        <v>2850</v>
      </c>
      <c r="N67">
        <v>2100</v>
      </c>
      <c r="O67">
        <v>16</v>
      </c>
      <c r="P67" t="s">
        <v>63</v>
      </c>
      <c r="Q67" t="s">
        <v>64</v>
      </c>
      <c r="R67" t="s">
        <v>148</v>
      </c>
      <c r="S67" t="s">
        <v>66</v>
      </c>
      <c r="T67" t="s">
        <v>67</v>
      </c>
      <c r="V67" t="s">
        <v>68</v>
      </c>
      <c r="W67" t="s">
        <v>104</v>
      </c>
      <c r="X67" s="10">
        <v>45861</v>
      </c>
      <c r="Y67" s="6"/>
      <c r="Z67" s="6">
        <v>0</v>
      </c>
      <c r="AA67" s="6"/>
      <c r="AB67" s="6"/>
      <c r="AC67" s="6"/>
    </row>
    <row r="68" spans="1:29" s="4" customFormat="1" x14ac:dyDescent="0.25">
      <c r="A68" s="5">
        <v>63</v>
      </c>
      <c r="C68" t="s">
        <v>145</v>
      </c>
      <c r="D68" t="s">
        <v>151</v>
      </c>
      <c r="F68" t="s">
        <v>152</v>
      </c>
      <c r="G68" s="17">
        <v>9.5399999999999991</v>
      </c>
      <c r="H68" s="8">
        <v>0.05</v>
      </c>
      <c r="I68" s="8">
        <v>0.36</v>
      </c>
      <c r="J68" s="7">
        <f t="shared" si="0"/>
        <v>6.4108800000000006</v>
      </c>
      <c r="K68" s="5" t="s">
        <v>27</v>
      </c>
      <c r="L68" s="9">
        <v>0.15</v>
      </c>
      <c r="M68">
        <v>2440</v>
      </c>
      <c r="N68">
        <v>2100</v>
      </c>
      <c r="O68">
        <v>19</v>
      </c>
      <c r="P68" t="s">
        <v>63</v>
      </c>
      <c r="Q68" t="s">
        <v>64</v>
      </c>
      <c r="R68" t="s">
        <v>148</v>
      </c>
      <c r="S68" t="s">
        <v>66</v>
      </c>
      <c r="T68" t="s">
        <v>67</v>
      </c>
      <c r="V68" t="s">
        <v>68</v>
      </c>
      <c r="W68" t="s">
        <v>104</v>
      </c>
      <c r="X68" s="10">
        <v>45861</v>
      </c>
      <c r="Y68" s="6"/>
      <c r="Z68" s="6">
        <v>0</v>
      </c>
      <c r="AA68" s="6"/>
      <c r="AB68" s="6"/>
      <c r="AC68" s="6"/>
    </row>
    <row r="69" spans="1:29" s="4" customFormat="1" x14ac:dyDescent="0.25">
      <c r="A69" s="5">
        <v>64</v>
      </c>
      <c r="C69" t="s">
        <v>145</v>
      </c>
      <c r="D69" t="s">
        <v>153</v>
      </c>
      <c r="F69" t="s">
        <v>154</v>
      </c>
      <c r="G69" s="17">
        <v>14.1</v>
      </c>
      <c r="H69" s="8">
        <v>0.05</v>
      </c>
      <c r="I69" s="8">
        <v>0.3</v>
      </c>
      <c r="J69" s="7">
        <f t="shared" si="0"/>
        <v>10.3635</v>
      </c>
      <c r="K69" s="5" t="s">
        <v>27</v>
      </c>
      <c r="L69" s="9">
        <v>0.2</v>
      </c>
      <c r="M69">
        <v>2850</v>
      </c>
      <c r="N69">
        <v>2100</v>
      </c>
      <c r="O69">
        <v>30</v>
      </c>
      <c r="P69" t="s">
        <v>63</v>
      </c>
      <c r="Q69" t="s">
        <v>64</v>
      </c>
      <c r="R69" t="s">
        <v>148</v>
      </c>
      <c r="S69" t="s">
        <v>66</v>
      </c>
      <c r="T69" t="s">
        <v>67</v>
      </c>
      <c r="V69" t="s">
        <v>68</v>
      </c>
      <c r="W69" t="s">
        <v>104</v>
      </c>
      <c r="X69" s="10">
        <v>45861</v>
      </c>
      <c r="Y69" s="6"/>
      <c r="Z69" s="6">
        <v>0</v>
      </c>
      <c r="AA69" s="6"/>
      <c r="AB69" s="6"/>
      <c r="AC69" s="6"/>
    </row>
    <row r="70" spans="1:29" s="4" customFormat="1" x14ac:dyDescent="0.25">
      <c r="A70" s="5">
        <v>65</v>
      </c>
      <c r="C70" t="s">
        <v>183</v>
      </c>
      <c r="D70" t="s">
        <v>187</v>
      </c>
      <c r="F70" t="s">
        <v>188</v>
      </c>
      <c r="G70" s="17">
        <v>15.25</v>
      </c>
      <c r="H70" s="8">
        <v>0.05</v>
      </c>
      <c r="I70" s="8">
        <v>0.3</v>
      </c>
      <c r="J70" s="7">
        <f t="shared" ref="J70:J138" si="1">G70*(1-I70)*(1+H70)</f>
        <v>11.20875</v>
      </c>
      <c r="K70" s="5" t="s">
        <v>27</v>
      </c>
      <c r="L70" s="9">
        <v>0.2</v>
      </c>
      <c r="M70">
        <v>2800</v>
      </c>
      <c r="N70">
        <v>2070</v>
      </c>
      <c r="O70">
        <v>19</v>
      </c>
      <c r="P70" t="s">
        <v>63</v>
      </c>
      <c r="Q70" t="s">
        <v>64</v>
      </c>
      <c r="R70" t="s">
        <v>186</v>
      </c>
      <c r="S70" t="s">
        <v>165</v>
      </c>
      <c r="T70" t="s">
        <v>166</v>
      </c>
      <c r="V70" t="s">
        <v>68</v>
      </c>
      <c r="W70" t="s">
        <v>128</v>
      </c>
      <c r="X70" s="10">
        <v>45861</v>
      </c>
      <c r="Y70" s="6"/>
      <c r="Z70" s="6">
        <v>0</v>
      </c>
      <c r="AA70" s="6"/>
      <c r="AB70" s="6"/>
      <c r="AC70" s="6"/>
    </row>
    <row r="71" spans="1:29" s="4" customFormat="1" x14ac:dyDescent="0.25">
      <c r="A71" s="5">
        <v>66</v>
      </c>
      <c r="C71" t="s">
        <v>183</v>
      </c>
      <c r="D71" t="s">
        <v>189</v>
      </c>
      <c r="F71" t="s">
        <v>190</v>
      </c>
      <c r="G71" s="17">
        <v>19.420000000000002</v>
      </c>
      <c r="H71" s="8">
        <v>0.05</v>
      </c>
      <c r="I71" s="8">
        <v>0.3</v>
      </c>
      <c r="J71" s="7">
        <f t="shared" si="1"/>
        <v>14.273700000000002</v>
      </c>
      <c r="K71" s="5" t="s">
        <v>27</v>
      </c>
      <c r="L71" s="9">
        <v>0.2</v>
      </c>
      <c r="M71">
        <v>2800</v>
      </c>
      <c r="N71">
        <v>2070</v>
      </c>
      <c r="O71">
        <v>28</v>
      </c>
      <c r="P71" t="s">
        <v>63</v>
      </c>
      <c r="Q71" t="s">
        <v>64</v>
      </c>
      <c r="R71" t="s">
        <v>186</v>
      </c>
      <c r="S71" t="s">
        <v>165</v>
      </c>
      <c r="T71" t="s">
        <v>166</v>
      </c>
      <c r="V71" t="s">
        <v>68</v>
      </c>
      <c r="W71" t="s">
        <v>128</v>
      </c>
      <c r="X71" s="10">
        <v>45861</v>
      </c>
      <c r="Y71" s="6"/>
      <c r="Z71" s="6">
        <v>0</v>
      </c>
      <c r="AA71" s="6"/>
      <c r="AB71" s="6"/>
      <c r="AC71" s="6"/>
    </row>
    <row r="72" spans="1:29" s="4" customFormat="1" x14ac:dyDescent="0.25">
      <c r="A72" s="5">
        <v>67</v>
      </c>
      <c r="C72" t="s">
        <v>183</v>
      </c>
      <c r="D72" t="s">
        <v>184</v>
      </c>
      <c r="F72" t="s">
        <v>185</v>
      </c>
      <c r="G72" s="17">
        <v>12.45</v>
      </c>
      <c r="H72" s="8">
        <v>0.05</v>
      </c>
      <c r="I72" s="8">
        <v>0.3</v>
      </c>
      <c r="J72" s="7">
        <f t="shared" si="1"/>
        <v>9.1507499999999986</v>
      </c>
      <c r="K72" s="5" t="s">
        <v>27</v>
      </c>
      <c r="L72" s="9">
        <v>0.2</v>
      </c>
      <c r="M72">
        <v>2800</v>
      </c>
      <c r="N72">
        <v>2070</v>
      </c>
      <c r="O72">
        <v>8</v>
      </c>
      <c r="P72" t="s">
        <v>63</v>
      </c>
      <c r="Q72" t="s">
        <v>64</v>
      </c>
      <c r="R72" t="s">
        <v>186</v>
      </c>
      <c r="S72" t="s">
        <v>165</v>
      </c>
      <c r="T72" t="s">
        <v>166</v>
      </c>
      <c r="V72" t="s">
        <v>68</v>
      </c>
      <c r="W72" t="s">
        <v>128</v>
      </c>
      <c r="X72" s="10">
        <v>45861</v>
      </c>
      <c r="Y72" s="6"/>
      <c r="Z72" s="6">
        <v>0</v>
      </c>
      <c r="AA72" s="6"/>
      <c r="AB72" s="6"/>
      <c r="AC72" s="6"/>
    </row>
    <row r="73" spans="1:29" s="4" customFormat="1" x14ac:dyDescent="0.25">
      <c r="A73" s="5">
        <v>68</v>
      </c>
      <c r="C73" t="s">
        <v>273</v>
      </c>
      <c r="D73" t="s">
        <v>276</v>
      </c>
      <c r="F73" t="s">
        <v>277</v>
      </c>
      <c r="G73" s="17">
        <v>8.27</v>
      </c>
      <c r="H73" s="8"/>
      <c r="I73" s="8">
        <v>0.2</v>
      </c>
      <c r="J73" s="7">
        <f t="shared" si="1"/>
        <v>6.6159999999999997</v>
      </c>
      <c r="K73" s="5" t="s">
        <v>27</v>
      </c>
      <c r="L73" s="9">
        <v>0.2</v>
      </c>
      <c r="M73">
        <v>2800</v>
      </c>
      <c r="N73">
        <v>2070</v>
      </c>
      <c r="O73">
        <v>10</v>
      </c>
      <c r="P73" t="s">
        <v>63</v>
      </c>
      <c r="Q73" t="s">
        <v>64</v>
      </c>
      <c r="S73" t="s">
        <v>165</v>
      </c>
      <c r="T73" t="s">
        <v>166</v>
      </c>
      <c r="V73" t="s">
        <v>68</v>
      </c>
      <c r="W73" t="s">
        <v>108</v>
      </c>
      <c r="X73" s="10">
        <v>45861</v>
      </c>
      <c r="Y73" s="6"/>
      <c r="Z73" s="5">
        <v>1</v>
      </c>
      <c r="AA73" s="6"/>
      <c r="AB73" s="6"/>
      <c r="AC73" s="6"/>
    </row>
    <row r="74" spans="1:29" s="4" customFormat="1" x14ac:dyDescent="0.25">
      <c r="A74" s="5">
        <v>69</v>
      </c>
      <c r="C74" t="s">
        <v>273</v>
      </c>
      <c r="D74" t="s">
        <v>274</v>
      </c>
      <c r="F74" t="s">
        <v>275</v>
      </c>
      <c r="G74" s="17">
        <v>9.76</v>
      </c>
      <c r="H74" s="8"/>
      <c r="I74" s="8">
        <v>0.2</v>
      </c>
      <c r="J74" s="7">
        <f t="shared" si="1"/>
        <v>7.8079999999999998</v>
      </c>
      <c r="K74" s="5" t="s">
        <v>27</v>
      </c>
      <c r="L74" s="9">
        <v>0.2</v>
      </c>
      <c r="M74">
        <v>2800</v>
      </c>
      <c r="N74">
        <v>2070</v>
      </c>
      <c r="O74">
        <v>19</v>
      </c>
      <c r="P74" t="s">
        <v>63</v>
      </c>
      <c r="Q74" t="s">
        <v>64</v>
      </c>
      <c r="S74" t="s">
        <v>165</v>
      </c>
      <c r="T74" t="s">
        <v>166</v>
      </c>
      <c r="V74" t="s">
        <v>68</v>
      </c>
      <c r="W74" t="s">
        <v>108</v>
      </c>
      <c r="X74" s="10">
        <v>45861</v>
      </c>
      <c r="Y74" s="6"/>
      <c r="Z74" s="5">
        <v>1</v>
      </c>
      <c r="AA74" s="6"/>
      <c r="AB74" s="6"/>
      <c r="AC74" s="6"/>
    </row>
    <row r="75" spans="1:29" s="4" customFormat="1" x14ac:dyDescent="0.25">
      <c r="A75" s="5">
        <v>70</v>
      </c>
      <c r="C75" t="s">
        <v>278</v>
      </c>
      <c r="D75" t="s">
        <v>281</v>
      </c>
      <c r="F75" t="s">
        <v>282</v>
      </c>
      <c r="G75" s="17">
        <v>9.1999999999999993</v>
      </c>
      <c r="H75" s="8"/>
      <c r="I75" s="8">
        <v>0.2</v>
      </c>
      <c r="J75" s="7">
        <f t="shared" si="1"/>
        <v>7.3599999999999994</v>
      </c>
      <c r="K75" s="5" t="s">
        <v>27</v>
      </c>
      <c r="L75" s="9">
        <v>0.2</v>
      </c>
      <c r="M75">
        <v>2800</v>
      </c>
      <c r="N75">
        <v>2070</v>
      </c>
      <c r="O75">
        <v>10</v>
      </c>
      <c r="P75" t="s">
        <v>63</v>
      </c>
      <c r="Q75" t="s">
        <v>64</v>
      </c>
      <c r="S75" t="s">
        <v>165</v>
      </c>
      <c r="T75" t="s">
        <v>166</v>
      </c>
      <c r="V75" t="s">
        <v>68</v>
      </c>
      <c r="W75" t="s">
        <v>108</v>
      </c>
      <c r="X75" s="10">
        <v>45861</v>
      </c>
      <c r="Y75" s="6"/>
      <c r="Z75" s="5">
        <v>1</v>
      </c>
      <c r="AA75" s="6"/>
      <c r="AB75" s="6"/>
      <c r="AC75" s="6"/>
    </row>
    <row r="76" spans="1:29" s="4" customFormat="1" x14ac:dyDescent="0.25">
      <c r="A76" s="5">
        <v>71</v>
      </c>
      <c r="C76" t="s">
        <v>278</v>
      </c>
      <c r="D76" t="s">
        <v>279</v>
      </c>
      <c r="F76" t="s">
        <v>280</v>
      </c>
      <c r="G76" s="17">
        <v>10.72</v>
      </c>
      <c r="H76" s="8"/>
      <c r="I76" s="8">
        <v>0.2</v>
      </c>
      <c r="J76" s="7">
        <f t="shared" si="1"/>
        <v>8.5760000000000005</v>
      </c>
      <c r="K76" s="5" t="s">
        <v>27</v>
      </c>
      <c r="L76" s="9">
        <v>0.2</v>
      </c>
      <c r="M76">
        <v>2800</v>
      </c>
      <c r="N76">
        <v>2070</v>
      </c>
      <c r="O76">
        <v>19</v>
      </c>
      <c r="P76" t="s">
        <v>63</v>
      </c>
      <c r="Q76" t="s">
        <v>64</v>
      </c>
      <c r="S76" t="s">
        <v>165</v>
      </c>
      <c r="T76" t="s">
        <v>166</v>
      </c>
      <c r="V76" t="s">
        <v>68</v>
      </c>
      <c r="W76" t="s">
        <v>108</v>
      </c>
      <c r="X76" s="10">
        <v>45861</v>
      </c>
      <c r="Y76" s="6"/>
      <c r="Z76" s="5">
        <v>1</v>
      </c>
      <c r="AA76" s="6"/>
      <c r="AB76" s="6"/>
      <c r="AC76" s="6"/>
    </row>
    <row r="77" spans="1:29" s="4" customFormat="1" x14ac:dyDescent="0.25">
      <c r="A77" s="5">
        <v>72</v>
      </c>
      <c r="C77" t="s">
        <v>283</v>
      </c>
      <c r="D77" t="s">
        <v>286</v>
      </c>
      <c r="F77" t="s">
        <v>287</v>
      </c>
      <c r="G77" s="17">
        <v>9.82</v>
      </c>
      <c r="H77" s="8"/>
      <c r="I77" s="8">
        <v>0.2</v>
      </c>
      <c r="J77" s="7">
        <f t="shared" si="1"/>
        <v>7.8560000000000008</v>
      </c>
      <c r="K77" s="5" t="s">
        <v>27</v>
      </c>
      <c r="L77" s="9">
        <v>0.2</v>
      </c>
      <c r="M77">
        <v>2800</v>
      </c>
      <c r="N77">
        <v>2070</v>
      </c>
      <c r="O77">
        <v>10</v>
      </c>
      <c r="P77" t="s">
        <v>63</v>
      </c>
      <c r="Q77" t="s">
        <v>64</v>
      </c>
      <c r="S77" t="s">
        <v>165</v>
      </c>
      <c r="T77" t="s">
        <v>166</v>
      </c>
      <c r="V77" t="s">
        <v>68</v>
      </c>
      <c r="W77" t="s">
        <v>108</v>
      </c>
      <c r="X77" s="10">
        <v>45861</v>
      </c>
      <c r="Y77" s="6"/>
      <c r="Z77" s="5">
        <v>1</v>
      </c>
      <c r="AA77" s="6"/>
      <c r="AB77" s="6"/>
      <c r="AC77" s="6"/>
    </row>
    <row r="78" spans="1:29" s="4" customFormat="1" x14ac:dyDescent="0.25">
      <c r="A78" s="5">
        <v>73</v>
      </c>
      <c r="C78" t="s">
        <v>283</v>
      </c>
      <c r="D78" t="s">
        <v>284</v>
      </c>
      <c r="F78" t="s">
        <v>285</v>
      </c>
      <c r="G78" s="17">
        <v>11.45</v>
      </c>
      <c r="H78" s="8"/>
      <c r="I78" s="8">
        <v>0.2</v>
      </c>
      <c r="J78" s="7">
        <f t="shared" si="1"/>
        <v>9.16</v>
      </c>
      <c r="K78" s="5" t="s">
        <v>27</v>
      </c>
      <c r="L78" s="9">
        <v>0.2</v>
      </c>
      <c r="M78">
        <v>2800</v>
      </c>
      <c r="N78">
        <v>2070</v>
      </c>
      <c r="O78">
        <v>19</v>
      </c>
      <c r="P78" t="s">
        <v>63</v>
      </c>
      <c r="Q78" t="s">
        <v>64</v>
      </c>
      <c r="S78" t="s">
        <v>165</v>
      </c>
      <c r="T78" t="s">
        <v>166</v>
      </c>
      <c r="V78" t="s">
        <v>68</v>
      </c>
      <c r="W78" t="s">
        <v>108</v>
      </c>
      <c r="X78" s="10">
        <v>45861</v>
      </c>
      <c r="Y78" s="6"/>
      <c r="Z78" s="5">
        <v>1</v>
      </c>
      <c r="AA78" s="6"/>
      <c r="AB78" s="6"/>
      <c r="AC78" s="6"/>
    </row>
    <row r="79" spans="1:29" s="4" customFormat="1" x14ac:dyDescent="0.25">
      <c r="A79" s="5">
        <v>74</v>
      </c>
      <c r="C79" t="s">
        <v>288</v>
      </c>
      <c r="D79" t="s">
        <v>291</v>
      </c>
      <c r="F79" t="s">
        <v>292</v>
      </c>
      <c r="G79" s="17">
        <v>9.77</v>
      </c>
      <c r="H79" s="8"/>
      <c r="I79" s="8">
        <v>0.2</v>
      </c>
      <c r="J79" s="7">
        <f t="shared" si="1"/>
        <v>7.8159999999999998</v>
      </c>
      <c r="K79" s="5" t="s">
        <v>27</v>
      </c>
      <c r="L79" s="9">
        <v>0.2</v>
      </c>
      <c r="M79">
        <v>2800</v>
      </c>
      <c r="N79">
        <v>2070</v>
      </c>
      <c r="O79">
        <v>10</v>
      </c>
      <c r="P79" t="s">
        <v>63</v>
      </c>
      <c r="Q79" t="s">
        <v>64</v>
      </c>
      <c r="S79" t="s">
        <v>165</v>
      </c>
      <c r="T79" t="s">
        <v>166</v>
      </c>
      <c r="V79" t="s">
        <v>68</v>
      </c>
      <c r="W79" t="s">
        <v>108</v>
      </c>
      <c r="X79" s="10">
        <v>45861</v>
      </c>
      <c r="Y79" s="6"/>
      <c r="Z79" s="5">
        <v>1</v>
      </c>
      <c r="AA79" s="6"/>
      <c r="AB79" s="6"/>
      <c r="AC79" s="6"/>
    </row>
    <row r="80" spans="1:29" s="4" customFormat="1" x14ac:dyDescent="0.25">
      <c r="A80" s="5">
        <v>75</v>
      </c>
      <c r="C80" t="s">
        <v>288</v>
      </c>
      <c r="D80" t="s">
        <v>289</v>
      </c>
      <c r="F80" t="s">
        <v>290</v>
      </c>
      <c r="G80" s="17">
        <v>11.3</v>
      </c>
      <c r="H80" s="8"/>
      <c r="I80" s="8">
        <v>0.2</v>
      </c>
      <c r="J80" s="7">
        <f t="shared" si="1"/>
        <v>9.0400000000000009</v>
      </c>
      <c r="K80" s="5" t="s">
        <v>27</v>
      </c>
      <c r="L80" s="9">
        <v>0.2</v>
      </c>
      <c r="M80">
        <v>2800</v>
      </c>
      <c r="N80">
        <v>2070</v>
      </c>
      <c r="O80">
        <v>19</v>
      </c>
      <c r="P80" t="s">
        <v>63</v>
      </c>
      <c r="Q80" t="s">
        <v>64</v>
      </c>
      <c r="S80" t="s">
        <v>165</v>
      </c>
      <c r="T80" t="s">
        <v>166</v>
      </c>
      <c r="V80" t="s">
        <v>68</v>
      </c>
      <c r="W80" t="s">
        <v>108</v>
      </c>
      <c r="X80" s="10">
        <v>45861</v>
      </c>
      <c r="Y80" s="6"/>
      <c r="Z80" s="5">
        <v>1</v>
      </c>
      <c r="AA80" s="6"/>
      <c r="AB80" s="6"/>
      <c r="AC80" s="6"/>
    </row>
    <row r="81" spans="1:29" s="4" customFormat="1" x14ac:dyDescent="0.25">
      <c r="A81" s="5">
        <v>76</v>
      </c>
      <c r="C81" t="s">
        <v>293</v>
      </c>
      <c r="D81" t="s">
        <v>296</v>
      </c>
      <c r="F81" t="s">
        <v>297</v>
      </c>
      <c r="G81" s="17">
        <v>10.43</v>
      </c>
      <c r="H81" s="8"/>
      <c r="I81" s="8">
        <v>0.2</v>
      </c>
      <c r="J81" s="7">
        <f t="shared" si="1"/>
        <v>8.3439999999999994</v>
      </c>
      <c r="K81" s="5" t="s">
        <v>27</v>
      </c>
      <c r="L81" s="9">
        <v>0.2</v>
      </c>
      <c r="M81">
        <v>2800</v>
      </c>
      <c r="N81">
        <v>2070</v>
      </c>
      <c r="O81">
        <v>10</v>
      </c>
      <c r="P81" t="s">
        <v>63</v>
      </c>
      <c r="Q81" t="s">
        <v>64</v>
      </c>
      <c r="S81" t="s">
        <v>165</v>
      </c>
      <c r="T81" t="s">
        <v>166</v>
      </c>
      <c r="V81" t="s">
        <v>68</v>
      </c>
      <c r="W81" t="s">
        <v>108</v>
      </c>
      <c r="X81" s="10">
        <v>45861</v>
      </c>
      <c r="Y81" s="6"/>
      <c r="Z81" s="5">
        <v>1</v>
      </c>
      <c r="AA81" s="6"/>
      <c r="AB81" s="6"/>
      <c r="AC81" s="6"/>
    </row>
    <row r="82" spans="1:29" s="4" customFormat="1" x14ac:dyDescent="0.25">
      <c r="A82" s="5">
        <v>77</v>
      </c>
      <c r="C82" t="s">
        <v>293</v>
      </c>
      <c r="D82" t="s">
        <v>294</v>
      </c>
      <c r="F82" t="s">
        <v>295</v>
      </c>
      <c r="G82" s="17">
        <v>12.06</v>
      </c>
      <c r="H82" s="8"/>
      <c r="I82" s="8">
        <v>0.2</v>
      </c>
      <c r="J82" s="7">
        <f t="shared" si="1"/>
        <v>9.6480000000000015</v>
      </c>
      <c r="K82" s="5" t="s">
        <v>27</v>
      </c>
      <c r="L82" s="9">
        <v>0.2</v>
      </c>
      <c r="M82">
        <v>2800</v>
      </c>
      <c r="N82">
        <v>2070</v>
      </c>
      <c r="O82">
        <v>19</v>
      </c>
      <c r="P82" t="s">
        <v>63</v>
      </c>
      <c r="Q82" t="s">
        <v>64</v>
      </c>
      <c r="S82" t="s">
        <v>165</v>
      </c>
      <c r="T82" t="s">
        <v>166</v>
      </c>
      <c r="V82" t="s">
        <v>68</v>
      </c>
      <c r="W82" t="s">
        <v>108</v>
      </c>
      <c r="X82" s="10">
        <v>45861</v>
      </c>
      <c r="Y82" s="6"/>
      <c r="Z82" s="5">
        <v>1</v>
      </c>
      <c r="AA82" s="6"/>
      <c r="AB82" s="6"/>
      <c r="AC82" s="6"/>
    </row>
    <row r="83" spans="1:29" s="4" customFormat="1" x14ac:dyDescent="0.25">
      <c r="A83" s="5">
        <v>78</v>
      </c>
      <c r="C83" t="s">
        <v>298</v>
      </c>
      <c r="D83" t="s">
        <v>301</v>
      </c>
      <c r="F83" t="s">
        <v>302</v>
      </c>
      <c r="G83" s="17">
        <v>10.35</v>
      </c>
      <c r="H83" s="8"/>
      <c r="I83" s="8">
        <v>0.2</v>
      </c>
      <c r="J83" s="7">
        <f t="shared" si="1"/>
        <v>8.2799999999999994</v>
      </c>
      <c r="K83" s="5" t="s">
        <v>27</v>
      </c>
      <c r="L83" s="9">
        <v>0.2</v>
      </c>
      <c r="M83">
        <v>2800</v>
      </c>
      <c r="N83">
        <v>2070</v>
      </c>
      <c r="O83">
        <v>10</v>
      </c>
      <c r="P83" t="s">
        <v>63</v>
      </c>
      <c r="Q83" t="s">
        <v>64</v>
      </c>
      <c r="S83" t="s">
        <v>165</v>
      </c>
      <c r="T83" t="s">
        <v>166</v>
      </c>
      <c r="V83" t="s">
        <v>68</v>
      </c>
      <c r="W83" t="s">
        <v>108</v>
      </c>
      <c r="X83" s="10">
        <v>45861</v>
      </c>
      <c r="Y83" s="6"/>
      <c r="Z83" s="5">
        <v>1</v>
      </c>
      <c r="AA83" s="6"/>
      <c r="AB83" s="6"/>
      <c r="AC83" s="6"/>
    </row>
    <row r="84" spans="1:29" s="4" customFormat="1" x14ac:dyDescent="0.25">
      <c r="A84" s="5">
        <v>79</v>
      </c>
      <c r="C84" t="s">
        <v>298</v>
      </c>
      <c r="D84" t="s">
        <v>299</v>
      </c>
      <c r="F84" t="s">
        <v>300</v>
      </c>
      <c r="G84" s="17">
        <v>11.87</v>
      </c>
      <c r="H84" s="8"/>
      <c r="I84" s="8">
        <v>0.2</v>
      </c>
      <c r="J84" s="7">
        <f t="shared" si="1"/>
        <v>9.4960000000000004</v>
      </c>
      <c r="K84" s="5" t="s">
        <v>27</v>
      </c>
      <c r="L84" s="9">
        <v>0.2</v>
      </c>
      <c r="M84">
        <v>2800</v>
      </c>
      <c r="N84">
        <v>2070</v>
      </c>
      <c r="O84">
        <v>19</v>
      </c>
      <c r="P84" t="s">
        <v>63</v>
      </c>
      <c r="Q84" t="s">
        <v>64</v>
      </c>
      <c r="S84" t="s">
        <v>165</v>
      </c>
      <c r="T84" t="s">
        <v>166</v>
      </c>
      <c r="V84" t="s">
        <v>68</v>
      </c>
      <c r="W84" t="s">
        <v>108</v>
      </c>
      <c r="X84" s="10">
        <v>45861</v>
      </c>
      <c r="Y84" s="6"/>
      <c r="Z84" s="5">
        <v>1</v>
      </c>
      <c r="AA84" s="6"/>
      <c r="AB84" s="6"/>
      <c r="AC84" s="6"/>
    </row>
    <row r="85" spans="1:29" s="4" customFormat="1" x14ac:dyDescent="0.25">
      <c r="A85" s="5">
        <v>80</v>
      </c>
      <c r="C85" t="s">
        <v>303</v>
      </c>
      <c r="D85" t="s">
        <v>306</v>
      </c>
      <c r="F85" t="s">
        <v>307</v>
      </c>
      <c r="G85" s="17">
        <v>11.05</v>
      </c>
      <c r="H85" s="8"/>
      <c r="I85" s="8">
        <v>0.2</v>
      </c>
      <c r="J85" s="7">
        <f t="shared" si="1"/>
        <v>8.8400000000000016</v>
      </c>
      <c r="K85" s="5" t="s">
        <v>27</v>
      </c>
      <c r="L85" s="9">
        <v>0.2</v>
      </c>
      <c r="M85">
        <v>2800</v>
      </c>
      <c r="N85">
        <v>2070</v>
      </c>
      <c r="O85">
        <v>10</v>
      </c>
      <c r="P85" t="s">
        <v>63</v>
      </c>
      <c r="Q85" t="s">
        <v>64</v>
      </c>
      <c r="S85" t="s">
        <v>165</v>
      </c>
      <c r="T85" t="s">
        <v>166</v>
      </c>
      <c r="V85" t="s">
        <v>68</v>
      </c>
      <c r="W85" t="s">
        <v>108</v>
      </c>
      <c r="X85" s="10">
        <v>45861</v>
      </c>
      <c r="Y85" s="6"/>
      <c r="Z85" s="5">
        <v>1</v>
      </c>
      <c r="AA85" s="6"/>
      <c r="AB85" s="6"/>
      <c r="AC85" s="6"/>
    </row>
    <row r="86" spans="1:29" s="4" customFormat="1" x14ac:dyDescent="0.25">
      <c r="A86" s="5">
        <v>81</v>
      </c>
      <c r="C86" t="s">
        <v>303</v>
      </c>
      <c r="D86" t="s">
        <v>304</v>
      </c>
      <c r="F86" t="s">
        <v>305</v>
      </c>
      <c r="G86" s="17">
        <v>12.67</v>
      </c>
      <c r="H86" s="8"/>
      <c r="I86" s="8">
        <v>0.2</v>
      </c>
      <c r="J86" s="7">
        <f t="shared" si="1"/>
        <v>10.136000000000001</v>
      </c>
      <c r="K86" s="5" t="s">
        <v>27</v>
      </c>
      <c r="L86" s="9">
        <v>0.2</v>
      </c>
      <c r="M86">
        <v>2800</v>
      </c>
      <c r="N86">
        <v>2070</v>
      </c>
      <c r="O86">
        <v>19</v>
      </c>
      <c r="P86" t="s">
        <v>63</v>
      </c>
      <c r="Q86" t="s">
        <v>64</v>
      </c>
      <c r="S86" t="s">
        <v>165</v>
      </c>
      <c r="T86" t="s">
        <v>166</v>
      </c>
      <c r="V86" t="s">
        <v>68</v>
      </c>
      <c r="W86" t="s">
        <v>108</v>
      </c>
      <c r="X86" s="10">
        <v>45861</v>
      </c>
      <c r="Y86" s="6"/>
      <c r="Z86" s="5">
        <v>1</v>
      </c>
      <c r="AA86" s="6"/>
      <c r="AB86" s="6"/>
      <c r="AC86" s="6"/>
    </row>
    <row r="87" spans="1:29" s="4" customFormat="1" x14ac:dyDescent="0.25">
      <c r="A87" s="5">
        <v>82</v>
      </c>
      <c r="C87" t="s">
        <v>265</v>
      </c>
      <c r="D87" t="s">
        <v>268</v>
      </c>
      <c r="F87" t="s">
        <v>269</v>
      </c>
      <c r="G87" s="17">
        <v>7.45</v>
      </c>
      <c r="H87" s="8"/>
      <c r="I87" s="8">
        <v>0.2</v>
      </c>
      <c r="J87" s="7">
        <f t="shared" si="1"/>
        <v>5.9600000000000009</v>
      </c>
      <c r="K87" s="5" t="s">
        <v>27</v>
      </c>
      <c r="L87" s="9">
        <v>0.2</v>
      </c>
      <c r="M87">
        <v>2800</v>
      </c>
      <c r="N87">
        <v>2070</v>
      </c>
      <c r="O87">
        <v>10</v>
      </c>
      <c r="P87" t="s">
        <v>63</v>
      </c>
      <c r="Q87" t="s">
        <v>64</v>
      </c>
      <c r="S87" t="s">
        <v>165</v>
      </c>
      <c r="T87" t="s">
        <v>166</v>
      </c>
      <c r="V87" t="s">
        <v>68</v>
      </c>
      <c r="W87" t="s">
        <v>108</v>
      </c>
      <c r="X87" s="10">
        <v>45861</v>
      </c>
      <c r="Y87" s="6"/>
      <c r="Z87" s="5">
        <v>1</v>
      </c>
      <c r="AA87" s="6"/>
      <c r="AB87" s="6"/>
      <c r="AC87" s="6"/>
    </row>
    <row r="88" spans="1:29" s="4" customFormat="1" x14ac:dyDescent="0.25">
      <c r="A88" s="5">
        <v>83</v>
      </c>
      <c r="C88" t="s">
        <v>265</v>
      </c>
      <c r="D88" t="s">
        <v>266</v>
      </c>
      <c r="F88" t="s">
        <v>267</v>
      </c>
      <c r="G88" s="17">
        <v>8.7899999999999991</v>
      </c>
      <c r="H88" s="8"/>
      <c r="I88" s="8">
        <v>0.2</v>
      </c>
      <c r="J88" s="7">
        <f t="shared" si="1"/>
        <v>7.032</v>
      </c>
      <c r="K88" s="5" t="s">
        <v>27</v>
      </c>
      <c r="L88" s="9">
        <v>0.2</v>
      </c>
      <c r="M88">
        <v>2800</v>
      </c>
      <c r="N88">
        <v>2070</v>
      </c>
      <c r="O88">
        <v>19</v>
      </c>
      <c r="P88" t="s">
        <v>63</v>
      </c>
      <c r="Q88" t="s">
        <v>64</v>
      </c>
      <c r="S88" t="s">
        <v>165</v>
      </c>
      <c r="T88" t="s">
        <v>166</v>
      </c>
      <c r="V88" t="s">
        <v>68</v>
      </c>
      <c r="W88" t="s">
        <v>108</v>
      </c>
      <c r="X88" s="10">
        <v>45861</v>
      </c>
      <c r="Y88" s="6"/>
      <c r="Z88" s="5">
        <v>1</v>
      </c>
      <c r="AA88" s="6"/>
      <c r="AB88" s="6"/>
      <c r="AC88" s="6"/>
    </row>
    <row r="89" spans="1:29" s="4" customFormat="1" x14ac:dyDescent="0.25">
      <c r="A89" s="5">
        <v>84</v>
      </c>
      <c r="C89" t="s">
        <v>270</v>
      </c>
      <c r="D89" t="s">
        <v>271</v>
      </c>
      <c r="F89" t="s">
        <v>272</v>
      </c>
      <c r="G89" s="17">
        <v>9.85</v>
      </c>
      <c r="H89" s="8"/>
      <c r="I89" s="8">
        <v>0.2</v>
      </c>
      <c r="J89" s="7">
        <f t="shared" si="1"/>
        <v>7.88</v>
      </c>
      <c r="K89" s="5" t="s">
        <v>27</v>
      </c>
      <c r="L89" s="9">
        <v>0.2</v>
      </c>
      <c r="M89">
        <v>2800</v>
      </c>
      <c r="N89">
        <v>2070</v>
      </c>
      <c r="O89">
        <v>19</v>
      </c>
      <c r="P89" t="s">
        <v>63</v>
      </c>
      <c r="Q89" t="s">
        <v>64</v>
      </c>
      <c r="S89" t="s">
        <v>165</v>
      </c>
      <c r="T89" t="s">
        <v>166</v>
      </c>
      <c r="V89" t="s">
        <v>68</v>
      </c>
      <c r="W89" t="s">
        <v>108</v>
      </c>
      <c r="X89" s="10">
        <v>45861</v>
      </c>
      <c r="Y89" s="6"/>
      <c r="Z89" s="5">
        <v>1</v>
      </c>
      <c r="AA89" s="6"/>
      <c r="AB89" s="6"/>
      <c r="AC89" s="6"/>
    </row>
    <row r="90" spans="1:29" s="4" customFormat="1" x14ac:dyDescent="0.25">
      <c r="A90" s="5">
        <v>85</v>
      </c>
      <c r="C90" t="s">
        <v>109</v>
      </c>
      <c r="D90" t="s">
        <v>119</v>
      </c>
      <c r="F90" t="s">
        <v>120</v>
      </c>
      <c r="G90" s="17">
        <v>8.9600000000000009</v>
      </c>
      <c r="H90" s="8">
        <v>0.1</v>
      </c>
      <c r="I90" s="8">
        <v>0.32</v>
      </c>
      <c r="J90" s="7">
        <f t="shared" si="1"/>
        <v>6.7020800000000014</v>
      </c>
      <c r="K90" s="5" t="s">
        <v>27</v>
      </c>
      <c r="L90" s="9">
        <v>0.18</v>
      </c>
      <c r="M90">
        <v>2800</v>
      </c>
      <c r="N90">
        <v>2070</v>
      </c>
      <c r="O90">
        <v>12</v>
      </c>
      <c r="P90" t="s">
        <v>63</v>
      </c>
      <c r="Q90" t="s">
        <v>64</v>
      </c>
      <c r="R90" t="s">
        <v>103</v>
      </c>
      <c r="S90" t="s">
        <v>66</v>
      </c>
      <c r="T90" t="s">
        <v>67</v>
      </c>
      <c r="V90" t="s">
        <v>108</v>
      </c>
      <c r="W90" t="s">
        <v>108</v>
      </c>
      <c r="X90" s="10">
        <v>45861</v>
      </c>
      <c r="Y90" s="6"/>
      <c r="Z90" s="6">
        <v>0</v>
      </c>
      <c r="AA90" s="6"/>
      <c r="AB90" s="6"/>
      <c r="AC90" s="6"/>
    </row>
    <row r="91" spans="1:29" s="4" customFormat="1" x14ac:dyDescent="0.25">
      <c r="A91" s="5">
        <v>86</v>
      </c>
      <c r="C91" t="s">
        <v>129</v>
      </c>
      <c r="D91" t="s">
        <v>133</v>
      </c>
      <c r="F91" t="s">
        <v>134</v>
      </c>
      <c r="G91" s="17">
        <v>9.66</v>
      </c>
      <c r="H91" s="8">
        <v>0.1</v>
      </c>
      <c r="I91" s="8">
        <v>0.36</v>
      </c>
      <c r="J91" s="7">
        <f t="shared" si="1"/>
        <v>6.8006400000000014</v>
      </c>
      <c r="K91" s="5" t="s">
        <v>27</v>
      </c>
      <c r="L91" s="9">
        <v>0.1</v>
      </c>
      <c r="M91">
        <v>2800</v>
      </c>
      <c r="N91">
        <v>2070</v>
      </c>
      <c r="O91">
        <v>16</v>
      </c>
      <c r="P91" t="s">
        <v>63</v>
      </c>
      <c r="Q91" t="s">
        <v>64</v>
      </c>
      <c r="R91" t="s">
        <v>132</v>
      </c>
      <c r="S91" t="s">
        <v>66</v>
      </c>
      <c r="T91" t="s">
        <v>67</v>
      </c>
      <c r="V91" t="s">
        <v>108</v>
      </c>
      <c r="W91" t="s">
        <v>108</v>
      </c>
      <c r="X91" s="10">
        <v>45861</v>
      </c>
      <c r="Y91" s="6"/>
      <c r="Z91" s="6">
        <v>0</v>
      </c>
      <c r="AA91" s="6"/>
      <c r="AB91" s="6"/>
      <c r="AC91" s="6"/>
    </row>
    <row r="92" spans="1:29" s="4" customFormat="1" x14ac:dyDescent="0.25">
      <c r="A92" s="5">
        <v>87</v>
      </c>
      <c r="C92" t="s">
        <v>196</v>
      </c>
      <c r="D92" t="s">
        <v>197</v>
      </c>
      <c r="F92" t="s">
        <v>198</v>
      </c>
      <c r="G92" s="17">
        <v>21.5</v>
      </c>
      <c r="H92" s="8">
        <v>0.1</v>
      </c>
      <c r="I92" s="8"/>
      <c r="J92" s="7">
        <f t="shared" si="1"/>
        <v>23.650000000000002</v>
      </c>
      <c r="K92" s="5" t="s">
        <v>27</v>
      </c>
      <c r="L92" s="9">
        <v>0.2</v>
      </c>
      <c r="M92">
        <v>3050</v>
      </c>
      <c r="N92">
        <v>1300</v>
      </c>
      <c r="O92">
        <v>19</v>
      </c>
      <c r="P92" t="s">
        <v>63</v>
      </c>
      <c r="Q92" t="s">
        <v>64</v>
      </c>
      <c r="R92" t="s">
        <v>199</v>
      </c>
      <c r="S92" t="s">
        <v>165</v>
      </c>
      <c r="T92" t="s">
        <v>166</v>
      </c>
      <c r="V92" t="s">
        <v>194</v>
      </c>
      <c r="W92" t="s">
        <v>195</v>
      </c>
      <c r="X92" s="10">
        <v>45861</v>
      </c>
      <c r="Y92" s="6"/>
      <c r="Z92" s="6">
        <v>0</v>
      </c>
      <c r="AA92" s="6"/>
      <c r="AB92" s="6"/>
      <c r="AC92" s="6"/>
    </row>
    <row r="93" spans="1:29" s="4" customFormat="1" x14ac:dyDescent="0.25">
      <c r="A93" s="5">
        <v>88</v>
      </c>
      <c r="C93" t="s">
        <v>191</v>
      </c>
      <c r="D93" t="s">
        <v>192</v>
      </c>
      <c r="F93" t="s">
        <v>193</v>
      </c>
      <c r="G93" s="17">
        <v>20.36</v>
      </c>
      <c r="H93" s="8">
        <v>0.1</v>
      </c>
      <c r="I93" s="8"/>
      <c r="J93" s="7">
        <f t="shared" si="1"/>
        <v>22.396000000000001</v>
      </c>
      <c r="K93" s="5" t="s">
        <v>27</v>
      </c>
      <c r="L93" s="9">
        <v>0.2</v>
      </c>
      <c r="M93">
        <v>3050</v>
      </c>
      <c r="N93">
        <v>1300</v>
      </c>
      <c r="O93">
        <v>19</v>
      </c>
      <c r="P93" t="s">
        <v>63</v>
      </c>
      <c r="Q93" t="s">
        <v>64</v>
      </c>
      <c r="R93" t="s">
        <v>103</v>
      </c>
      <c r="S93" t="s">
        <v>165</v>
      </c>
      <c r="T93" t="s">
        <v>166</v>
      </c>
      <c r="V93" t="s">
        <v>194</v>
      </c>
      <c r="W93" t="s">
        <v>195</v>
      </c>
      <c r="X93" s="10">
        <v>45861</v>
      </c>
      <c r="Y93" s="6"/>
      <c r="Z93" s="6">
        <v>0</v>
      </c>
      <c r="AA93" s="6"/>
      <c r="AB93" s="6"/>
      <c r="AC93" s="6"/>
    </row>
    <row r="94" spans="1:29" s="4" customFormat="1" x14ac:dyDescent="0.25">
      <c r="A94" s="5">
        <v>89</v>
      </c>
      <c r="C94" t="s">
        <v>206</v>
      </c>
      <c r="D94" t="s">
        <v>207</v>
      </c>
      <c r="F94" t="s">
        <v>208</v>
      </c>
      <c r="G94" s="17">
        <v>23.46</v>
      </c>
      <c r="H94" s="8">
        <v>0.1</v>
      </c>
      <c r="I94" s="8"/>
      <c r="J94" s="7">
        <f t="shared" si="1"/>
        <v>25.806000000000004</v>
      </c>
      <c r="K94" s="5" t="s">
        <v>27</v>
      </c>
      <c r="L94" s="9">
        <v>0.2</v>
      </c>
      <c r="M94">
        <v>3050</v>
      </c>
      <c r="N94">
        <v>1300</v>
      </c>
      <c r="O94">
        <v>19</v>
      </c>
      <c r="P94" t="s">
        <v>63</v>
      </c>
      <c r="Q94" t="s">
        <v>64</v>
      </c>
      <c r="R94" t="s">
        <v>103</v>
      </c>
      <c r="S94" t="s">
        <v>165</v>
      </c>
      <c r="T94" t="s">
        <v>166</v>
      </c>
      <c r="V94" t="s">
        <v>194</v>
      </c>
      <c r="W94" t="s">
        <v>195</v>
      </c>
      <c r="X94" s="10">
        <v>45861</v>
      </c>
      <c r="Y94" s="6"/>
      <c r="Z94" s="6">
        <v>0</v>
      </c>
      <c r="AA94" s="6"/>
      <c r="AB94" s="6"/>
      <c r="AC94" s="6"/>
    </row>
    <row r="95" spans="1:29" s="4" customFormat="1" x14ac:dyDescent="0.25">
      <c r="A95" s="5">
        <v>90</v>
      </c>
      <c r="C95" t="s">
        <v>203</v>
      </c>
      <c r="D95" t="s">
        <v>204</v>
      </c>
      <c r="F95" t="s">
        <v>205</v>
      </c>
      <c r="G95" s="17">
        <v>21.5</v>
      </c>
      <c r="H95" s="8">
        <v>0.1</v>
      </c>
      <c r="I95" s="8"/>
      <c r="J95" s="7">
        <f t="shared" si="1"/>
        <v>23.650000000000002</v>
      </c>
      <c r="K95" s="5" t="s">
        <v>27</v>
      </c>
      <c r="L95" s="9">
        <v>0.2</v>
      </c>
      <c r="M95">
        <v>3050</v>
      </c>
      <c r="N95">
        <v>1300</v>
      </c>
      <c r="O95">
        <v>19</v>
      </c>
      <c r="P95" t="s">
        <v>63</v>
      </c>
      <c r="Q95" t="s">
        <v>64</v>
      </c>
      <c r="R95" t="s">
        <v>140</v>
      </c>
      <c r="S95" t="s">
        <v>165</v>
      </c>
      <c r="T95" t="s">
        <v>166</v>
      </c>
      <c r="V95" t="s">
        <v>194</v>
      </c>
      <c r="W95" t="s">
        <v>195</v>
      </c>
      <c r="X95" s="10">
        <v>45861</v>
      </c>
      <c r="Y95" s="6"/>
      <c r="Z95" s="6">
        <v>0</v>
      </c>
      <c r="AA95" s="6"/>
      <c r="AB95" s="6"/>
      <c r="AC95" s="6"/>
    </row>
    <row r="96" spans="1:29" s="4" customFormat="1" x14ac:dyDescent="0.25">
      <c r="A96" s="5">
        <v>91</v>
      </c>
      <c r="C96" t="s">
        <v>200</v>
      </c>
      <c r="D96" t="s">
        <v>201</v>
      </c>
      <c r="F96" t="s">
        <v>202</v>
      </c>
      <c r="G96" s="17">
        <v>21.5</v>
      </c>
      <c r="H96" s="8">
        <v>0.1</v>
      </c>
      <c r="I96" s="8"/>
      <c r="J96" s="7">
        <f t="shared" si="1"/>
        <v>23.650000000000002</v>
      </c>
      <c r="K96" s="5" t="s">
        <v>27</v>
      </c>
      <c r="L96" s="9">
        <v>0.2</v>
      </c>
      <c r="M96">
        <v>3050</v>
      </c>
      <c r="N96">
        <v>1300</v>
      </c>
      <c r="O96">
        <v>19</v>
      </c>
      <c r="P96" t="s">
        <v>63</v>
      </c>
      <c r="Q96" t="s">
        <v>64</v>
      </c>
      <c r="R96" t="s">
        <v>132</v>
      </c>
      <c r="S96" t="s">
        <v>165</v>
      </c>
      <c r="T96" t="s">
        <v>166</v>
      </c>
      <c r="V96" t="s">
        <v>194</v>
      </c>
      <c r="W96" t="s">
        <v>195</v>
      </c>
      <c r="X96" s="10">
        <v>45861</v>
      </c>
      <c r="Y96" s="6"/>
      <c r="Z96" s="6">
        <v>0</v>
      </c>
      <c r="AA96" s="6"/>
      <c r="AB96" s="6"/>
      <c r="AC96" s="6"/>
    </row>
    <row r="97" spans="1:29" s="4" customFormat="1" ht="45" x14ac:dyDescent="0.25">
      <c r="A97" s="5">
        <v>92</v>
      </c>
      <c r="B97" s="4" t="s">
        <v>630</v>
      </c>
      <c r="C97">
        <v>6107720</v>
      </c>
      <c r="D97" t="s">
        <v>442</v>
      </c>
      <c r="E97" s="26" t="s">
        <v>443</v>
      </c>
      <c r="F97" t="s">
        <v>443</v>
      </c>
      <c r="G97" s="17">
        <v>7.6</v>
      </c>
      <c r="H97" s="8">
        <v>0.1</v>
      </c>
      <c r="I97" s="6"/>
      <c r="J97" s="7">
        <f t="shared" si="1"/>
        <v>8.36</v>
      </c>
      <c r="K97" s="5" t="s">
        <v>8</v>
      </c>
      <c r="L97" s="9">
        <v>0.02</v>
      </c>
      <c r="M97">
        <v>100</v>
      </c>
      <c r="O97">
        <v>100</v>
      </c>
      <c r="P97" t="s">
        <v>426</v>
      </c>
      <c r="Q97" t="s">
        <v>336</v>
      </c>
      <c r="V97" t="s">
        <v>343</v>
      </c>
      <c r="W97" t="s">
        <v>343</v>
      </c>
      <c r="X97" s="10">
        <v>45861</v>
      </c>
      <c r="Y97" s="6"/>
      <c r="Z97" s="5">
        <v>0</v>
      </c>
      <c r="AA97" s="6"/>
      <c r="AB97" s="6"/>
      <c r="AC97" s="6"/>
    </row>
    <row r="98" spans="1:29" s="4" customFormat="1" x14ac:dyDescent="0.25">
      <c r="A98" s="5">
        <v>93</v>
      </c>
      <c r="B98"/>
      <c r="C98"/>
      <c r="D98" t="s">
        <v>482</v>
      </c>
      <c r="E98"/>
      <c r="F98" t="s">
        <v>584</v>
      </c>
      <c r="G98" s="17">
        <v>2.9319148936170212</v>
      </c>
      <c r="H98" s="16">
        <v>0.1</v>
      </c>
      <c r="I98" s="16"/>
      <c r="J98" s="15">
        <f t="shared" si="1"/>
        <v>3.2251063829787237</v>
      </c>
      <c r="K98" s="6" t="s">
        <v>55</v>
      </c>
      <c r="L98" s="16">
        <v>0.02</v>
      </c>
      <c r="M98">
        <v>2350</v>
      </c>
      <c r="N98">
        <v>18</v>
      </c>
      <c r="O98"/>
      <c r="P98" t="s">
        <v>336</v>
      </c>
      <c r="Q98" t="s">
        <v>336</v>
      </c>
      <c r="R98" t="s">
        <v>427</v>
      </c>
      <c r="S98"/>
      <c r="T98"/>
      <c r="U98"/>
      <c r="V98" t="s">
        <v>343</v>
      </c>
      <c r="W98" t="s">
        <v>343</v>
      </c>
      <c r="X98" s="10">
        <v>45861</v>
      </c>
      <c r="Y98" s="6"/>
      <c r="Z98" s="5">
        <v>0</v>
      </c>
      <c r="AA98" s="6"/>
      <c r="AB98" s="6"/>
      <c r="AC98" s="6"/>
    </row>
    <row r="99" spans="1:29" s="4" customFormat="1" x14ac:dyDescent="0.25">
      <c r="A99" s="5">
        <v>94</v>
      </c>
      <c r="D99" t="s">
        <v>478</v>
      </c>
      <c r="F99" t="s">
        <v>479</v>
      </c>
      <c r="G99" s="17">
        <v>9.5</v>
      </c>
      <c r="H99" s="8">
        <v>0.1</v>
      </c>
      <c r="I99" s="6"/>
      <c r="J99" s="7">
        <f t="shared" si="1"/>
        <v>10.450000000000001</v>
      </c>
      <c r="K99" s="5" t="s">
        <v>8</v>
      </c>
      <c r="L99" s="9">
        <v>0.02</v>
      </c>
      <c r="N99">
        <v>450</v>
      </c>
      <c r="O99">
        <v>0</v>
      </c>
      <c r="P99" t="s">
        <v>336</v>
      </c>
      <c r="Q99" t="s">
        <v>336</v>
      </c>
      <c r="R99" t="s">
        <v>598</v>
      </c>
      <c r="V99" t="s">
        <v>343</v>
      </c>
      <c r="W99" t="s">
        <v>343</v>
      </c>
      <c r="X99" s="10">
        <v>45861</v>
      </c>
      <c r="Y99" s="6"/>
      <c r="Z99" s="5">
        <v>0</v>
      </c>
      <c r="AA99" s="6"/>
      <c r="AB99" s="6"/>
      <c r="AC99" s="6"/>
    </row>
    <row r="100" spans="1:29" s="4" customFormat="1" x14ac:dyDescent="0.25">
      <c r="A100" s="5">
        <v>95</v>
      </c>
      <c r="B100" s="4" t="s">
        <v>610</v>
      </c>
      <c r="C100" s="4" t="s">
        <v>609</v>
      </c>
      <c r="D100" t="s">
        <v>405</v>
      </c>
      <c r="F100" t="s">
        <v>406</v>
      </c>
      <c r="G100" s="17">
        <v>1.7</v>
      </c>
      <c r="H100" s="8">
        <v>0.1</v>
      </c>
      <c r="I100" s="6"/>
      <c r="J100" s="7">
        <f t="shared" si="1"/>
        <v>1.87</v>
      </c>
      <c r="K100" s="5" t="s">
        <v>8</v>
      </c>
      <c r="L100" s="9">
        <v>0.15</v>
      </c>
      <c r="M100">
        <v>2500</v>
      </c>
      <c r="P100" t="s">
        <v>401</v>
      </c>
      <c r="Q100" t="s">
        <v>336</v>
      </c>
      <c r="V100" t="s">
        <v>407</v>
      </c>
      <c r="W100" t="s">
        <v>407</v>
      </c>
      <c r="X100" s="10">
        <v>45861</v>
      </c>
      <c r="Y100" s="6"/>
      <c r="Z100" s="5">
        <v>0</v>
      </c>
      <c r="AA100" s="6"/>
      <c r="AB100" s="6"/>
      <c r="AC100" s="6"/>
    </row>
    <row r="101" spans="1:29" s="4" customFormat="1" x14ac:dyDescent="0.25">
      <c r="A101" s="5">
        <v>96</v>
      </c>
      <c r="B101" s="4" t="s">
        <v>624</v>
      </c>
      <c r="C101" s="26" t="s">
        <v>612</v>
      </c>
      <c r="D101" t="s">
        <v>626</v>
      </c>
      <c r="F101" s="26" t="s">
        <v>613</v>
      </c>
      <c r="G101" s="17">
        <v>1.48</v>
      </c>
      <c r="H101" s="8">
        <v>0.1</v>
      </c>
      <c r="I101" s="6"/>
      <c r="J101" s="7">
        <f t="shared" ref="J101" si="2">G101*(1-I101)*(1+H101)</f>
        <v>1.6280000000000001</v>
      </c>
      <c r="K101" s="5" t="s">
        <v>8</v>
      </c>
      <c r="L101" s="9">
        <v>0.1</v>
      </c>
      <c r="M101" s="4">
        <v>1800</v>
      </c>
      <c r="O101">
        <v>0</v>
      </c>
      <c r="P101" t="s">
        <v>401</v>
      </c>
      <c r="Q101" t="s">
        <v>336</v>
      </c>
      <c r="V101" t="s">
        <v>416</v>
      </c>
      <c r="W101" t="s">
        <v>416</v>
      </c>
      <c r="X101" s="10">
        <v>45877</v>
      </c>
      <c r="Y101" s="6"/>
      <c r="Z101" s="5">
        <v>0</v>
      </c>
      <c r="AA101" s="6"/>
      <c r="AB101" s="6"/>
      <c r="AC101" s="6"/>
    </row>
    <row r="102" spans="1:29" s="4" customFormat="1" x14ac:dyDescent="0.25">
      <c r="A102" s="5">
        <v>97</v>
      </c>
      <c r="D102" t="s">
        <v>399</v>
      </c>
      <c r="F102" t="s">
        <v>400</v>
      </c>
      <c r="G102" s="17">
        <v>1.875</v>
      </c>
      <c r="H102" s="8"/>
      <c r="I102" s="6"/>
      <c r="J102" s="7">
        <f t="shared" si="1"/>
        <v>1.875</v>
      </c>
      <c r="K102" s="5" t="s">
        <v>8</v>
      </c>
      <c r="L102" s="9">
        <v>0.1</v>
      </c>
      <c r="O102">
        <v>0</v>
      </c>
      <c r="P102" t="s">
        <v>401</v>
      </c>
      <c r="Q102" t="s">
        <v>336</v>
      </c>
      <c r="V102" t="s">
        <v>343</v>
      </c>
      <c r="W102" t="s">
        <v>343</v>
      </c>
      <c r="X102" s="10">
        <v>45861</v>
      </c>
      <c r="Y102" s="6"/>
      <c r="Z102" s="5">
        <v>0</v>
      </c>
      <c r="AA102" s="6"/>
      <c r="AB102" s="6"/>
      <c r="AC102" s="6"/>
    </row>
    <row r="103" spans="1:29" s="4" customFormat="1" x14ac:dyDescent="0.25">
      <c r="A103" s="5">
        <v>98</v>
      </c>
      <c r="B103" s="4" t="s">
        <v>633</v>
      </c>
      <c r="C103" s="4">
        <v>2092000</v>
      </c>
      <c r="D103" t="s">
        <v>639</v>
      </c>
      <c r="F103" s="26" t="s">
        <v>631</v>
      </c>
      <c r="G103" s="17">
        <v>1.8</v>
      </c>
      <c r="H103" s="8">
        <v>0.1</v>
      </c>
      <c r="I103" s="16"/>
      <c r="J103" s="7">
        <f>G103*(1-I103)*(1+H103)</f>
        <v>1.9800000000000002</v>
      </c>
      <c r="K103" s="5" t="s">
        <v>8</v>
      </c>
      <c r="L103" s="9">
        <v>0.02</v>
      </c>
      <c r="M103" s="25">
        <v>2000</v>
      </c>
      <c r="N103" s="4">
        <v>10</v>
      </c>
      <c r="O103" s="19">
        <v>10</v>
      </c>
      <c r="P103" t="s">
        <v>426</v>
      </c>
      <c r="Q103" t="s">
        <v>336</v>
      </c>
      <c r="R103" t="s">
        <v>595</v>
      </c>
      <c r="V103" t="s">
        <v>407</v>
      </c>
      <c r="W103" t="s">
        <v>407</v>
      </c>
      <c r="X103" s="10">
        <v>45881</v>
      </c>
      <c r="Y103" s="6"/>
      <c r="Z103" s="5">
        <v>0</v>
      </c>
      <c r="AA103" s="6"/>
      <c r="AB103" s="6"/>
      <c r="AC103" s="6"/>
    </row>
    <row r="104" spans="1:29" s="4" customFormat="1" x14ac:dyDescent="0.25">
      <c r="A104" s="5">
        <v>99</v>
      </c>
      <c r="B104" s="4" t="s">
        <v>634</v>
      </c>
      <c r="C104" s="4">
        <v>2092000</v>
      </c>
      <c r="D104" t="s">
        <v>640</v>
      </c>
      <c r="F104" s="26" t="s">
        <v>632</v>
      </c>
      <c r="G104" s="17">
        <v>1.8</v>
      </c>
      <c r="H104" s="8">
        <v>0.1</v>
      </c>
      <c r="I104" s="16"/>
      <c r="J104" s="7">
        <f>G104*(1-I104)*(1+H104)</f>
        <v>1.9800000000000002</v>
      </c>
      <c r="K104" s="5" t="s">
        <v>8</v>
      </c>
      <c r="L104" s="9">
        <v>0.02</v>
      </c>
      <c r="M104" s="25">
        <v>4000</v>
      </c>
      <c r="N104" s="4">
        <v>10</v>
      </c>
      <c r="O104" s="19">
        <v>10</v>
      </c>
      <c r="P104" t="s">
        <v>426</v>
      </c>
      <c r="Q104" t="s">
        <v>336</v>
      </c>
      <c r="R104" t="s">
        <v>595</v>
      </c>
      <c r="V104" t="s">
        <v>407</v>
      </c>
      <c r="W104" t="s">
        <v>407</v>
      </c>
      <c r="X104" s="10">
        <v>45881</v>
      </c>
      <c r="Y104" s="6"/>
      <c r="Z104" s="5">
        <v>0</v>
      </c>
      <c r="AA104" s="6"/>
      <c r="AB104" s="6"/>
      <c r="AC104" s="6"/>
    </row>
    <row r="105" spans="1:29" s="4" customFormat="1" x14ac:dyDescent="0.25">
      <c r="A105" s="5">
        <v>100</v>
      </c>
      <c r="B105" s="4" t="s">
        <v>637</v>
      </c>
      <c r="C105" s="4">
        <v>7060691</v>
      </c>
      <c r="D105" t="s">
        <v>641</v>
      </c>
      <c r="F105" s="26" t="s">
        <v>635</v>
      </c>
      <c r="G105" s="17">
        <v>1.7</v>
      </c>
      <c r="H105" s="8">
        <v>0.1</v>
      </c>
      <c r="I105" s="16"/>
      <c r="J105" s="7">
        <f>G105*(1-I105)*(1+H105)</f>
        <v>1.87</v>
      </c>
      <c r="K105" s="5" t="s">
        <v>8</v>
      </c>
      <c r="L105" s="9">
        <v>0.02</v>
      </c>
      <c r="M105" s="25">
        <v>2000</v>
      </c>
      <c r="N105" s="4">
        <v>10</v>
      </c>
      <c r="O105" s="19">
        <v>10</v>
      </c>
      <c r="P105" t="s">
        <v>426</v>
      </c>
      <c r="Q105" t="s">
        <v>336</v>
      </c>
      <c r="R105" t="s">
        <v>103</v>
      </c>
      <c r="V105" t="s">
        <v>407</v>
      </c>
      <c r="W105" t="s">
        <v>407</v>
      </c>
      <c r="X105" s="10">
        <v>45881</v>
      </c>
      <c r="Y105" s="6"/>
      <c r="Z105" s="5">
        <v>0</v>
      </c>
      <c r="AA105" s="6"/>
      <c r="AB105" s="6"/>
      <c r="AC105" s="6"/>
    </row>
    <row r="106" spans="1:29" s="4" customFormat="1" x14ac:dyDescent="0.25">
      <c r="A106" s="5">
        <v>101</v>
      </c>
      <c r="B106" s="4" t="s">
        <v>638</v>
      </c>
      <c r="C106" s="4">
        <v>7060691</v>
      </c>
      <c r="D106" t="s">
        <v>642</v>
      </c>
      <c r="F106" s="26" t="s">
        <v>636</v>
      </c>
      <c r="G106" s="17">
        <v>1.7</v>
      </c>
      <c r="H106" s="8">
        <v>0.1</v>
      </c>
      <c r="I106" s="16"/>
      <c r="J106" s="7">
        <f>G106*(1-I106)*(1+H106)</f>
        <v>1.87</v>
      </c>
      <c r="K106" s="5" t="s">
        <v>8</v>
      </c>
      <c r="L106" s="9">
        <v>0.02</v>
      </c>
      <c r="M106" s="25">
        <v>4000</v>
      </c>
      <c r="N106" s="4">
        <v>10</v>
      </c>
      <c r="O106" s="19">
        <v>10</v>
      </c>
      <c r="P106" t="s">
        <v>426</v>
      </c>
      <c r="Q106" t="s">
        <v>336</v>
      </c>
      <c r="R106" t="s">
        <v>103</v>
      </c>
      <c r="V106" t="s">
        <v>407</v>
      </c>
      <c r="W106" t="s">
        <v>407</v>
      </c>
      <c r="X106" s="10">
        <v>45881</v>
      </c>
      <c r="Y106" s="6"/>
      <c r="Z106" s="5">
        <v>0</v>
      </c>
      <c r="AA106" s="6"/>
      <c r="AB106" s="6"/>
      <c r="AC106" s="6"/>
    </row>
    <row r="107" spans="1:29" s="4" customFormat="1" x14ac:dyDescent="0.25">
      <c r="A107" s="5">
        <v>102</v>
      </c>
      <c r="D107" t="s">
        <v>425</v>
      </c>
      <c r="F107" t="s">
        <v>572</v>
      </c>
      <c r="G107" s="17">
        <v>7.36</v>
      </c>
      <c r="H107" s="8">
        <v>0.1</v>
      </c>
      <c r="I107" s="6"/>
      <c r="J107" s="7">
        <f t="shared" si="1"/>
        <v>8.0960000000000019</v>
      </c>
      <c r="K107" s="5" t="s">
        <v>8</v>
      </c>
      <c r="L107" s="9">
        <v>0.05</v>
      </c>
      <c r="M107">
        <v>3900</v>
      </c>
      <c r="N107">
        <v>48</v>
      </c>
      <c r="O107">
        <v>6</v>
      </c>
      <c r="P107" t="s">
        <v>426</v>
      </c>
      <c r="Q107" t="s">
        <v>336</v>
      </c>
      <c r="R107" t="s">
        <v>594</v>
      </c>
      <c r="V107" t="s">
        <v>343</v>
      </c>
      <c r="W107" t="s">
        <v>343</v>
      </c>
      <c r="X107" s="10">
        <v>45861</v>
      </c>
      <c r="Y107" s="6"/>
      <c r="Z107" s="5">
        <v>0</v>
      </c>
      <c r="AA107" s="6"/>
      <c r="AB107" s="6"/>
      <c r="AC107" s="6"/>
    </row>
    <row r="108" spans="1:29" s="4" customFormat="1" x14ac:dyDescent="0.25">
      <c r="A108" s="5">
        <v>103</v>
      </c>
      <c r="D108" t="s">
        <v>430</v>
      </c>
      <c r="F108" t="s">
        <v>574</v>
      </c>
      <c r="G108" s="17">
        <v>18.36</v>
      </c>
      <c r="H108" s="8">
        <v>0.1</v>
      </c>
      <c r="I108" s="6"/>
      <c r="J108" s="7">
        <f t="shared" si="1"/>
        <v>20.196000000000002</v>
      </c>
      <c r="K108" s="5" t="s">
        <v>8</v>
      </c>
      <c r="L108" s="9">
        <v>0.05</v>
      </c>
      <c r="M108">
        <v>3900</v>
      </c>
      <c r="N108">
        <v>48</v>
      </c>
      <c r="O108">
        <v>0</v>
      </c>
      <c r="P108" t="s">
        <v>426</v>
      </c>
      <c r="Q108" t="s">
        <v>336</v>
      </c>
      <c r="R108" t="s">
        <v>429</v>
      </c>
      <c r="V108" t="s">
        <v>343</v>
      </c>
      <c r="W108" t="s">
        <v>343</v>
      </c>
      <c r="X108" s="10">
        <v>45861</v>
      </c>
      <c r="Y108" s="6"/>
      <c r="Z108" s="5">
        <v>0</v>
      </c>
      <c r="AA108" s="6"/>
      <c r="AB108" s="6"/>
      <c r="AC108" s="6"/>
    </row>
    <row r="109" spans="1:29" s="4" customFormat="1" x14ac:dyDescent="0.25">
      <c r="A109" s="5">
        <v>104</v>
      </c>
      <c r="D109" t="s">
        <v>428</v>
      </c>
      <c r="F109" t="s">
        <v>573</v>
      </c>
      <c r="G109" s="17">
        <v>25.36</v>
      </c>
      <c r="H109" s="8">
        <v>0.1</v>
      </c>
      <c r="I109" s="6"/>
      <c r="J109" s="7">
        <f t="shared" si="1"/>
        <v>27.896000000000001</v>
      </c>
      <c r="K109" s="5" t="s">
        <v>8</v>
      </c>
      <c r="L109" s="9">
        <v>0.05</v>
      </c>
      <c r="M109">
        <v>3900</v>
      </c>
      <c r="N109">
        <v>48</v>
      </c>
      <c r="O109">
        <v>0</v>
      </c>
      <c r="P109" t="s">
        <v>426</v>
      </c>
      <c r="Q109" t="s">
        <v>336</v>
      </c>
      <c r="R109" t="s">
        <v>429</v>
      </c>
      <c r="V109" t="s">
        <v>343</v>
      </c>
      <c r="W109" t="s">
        <v>343</v>
      </c>
      <c r="X109" s="10">
        <v>45861</v>
      </c>
      <c r="Y109" s="6"/>
      <c r="Z109" s="5">
        <v>0</v>
      </c>
      <c r="AA109" s="6"/>
      <c r="AB109" s="6"/>
      <c r="AC109" s="6"/>
    </row>
    <row r="110" spans="1:29" s="4" customFormat="1" x14ac:dyDescent="0.25">
      <c r="A110" s="5">
        <v>105</v>
      </c>
      <c r="D110" t="s">
        <v>402</v>
      </c>
      <c r="F110" t="s">
        <v>403</v>
      </c>
      <c r="G110" s="17">
        <v>4.2</v>
      </c>
      <c r="H110" s="8"/>
      <c r="I110" s="8">
        <v>0.25</v>
      </c>
      <c r="J110" s="7">
        <f t="shared" si="1"/>
        <v>3.1500000000000004</v>
      </c>
      <c r="K110" s="5" t="s">
        <v>55</v>
      </c>
      <c r="L110" s="9">
        <v>0.15</v>
      </c>
      <c r="M110">
        <v>2500</v>
      </c>
      <c r="N110">
        <v>15</v>
      </c>
      <c r="O110">
        <v>6</v>
      </c>
      <c r="P110" t="s">
        <v>401</v>
      </c>
      <c r="Q110" t="s">
        <v>336</v>
      </c>
      <c r="V110" t="s">
        <v>404</v>
      </c>
      <c r="W110" t="s">
        <v>404</v>
      </c>
      <c r="X110" s="10">
        <v>45861</v>
      </c>
      <c r="Y110" s="6"/>
      <c r="Z110" s="5">
        <v>0</v>
      </c>
      <c r="AA110" s="6"/>
      <c r="AB110" s="6"/>
      <c r="AC110" s="6"/>
    </row>
    <row r="111" spans="1:29" s="4" customFormat="1" x14ac:dyDescent="0.25">
      <c r="A111" s="5">
        <v>106</v>
      </c>
      <c r="D111" t="s">
        <v>431</v>
      </c>
      <c r="F111" t="s">
        <v>575</v>
      </c>
      <c r="G111" s="17">
        <v>10</v>
      </c>
      <c r="H111" s="8"/>
      <c r="I111" s="6"/>
      <c r="J111" s="7">
        <f t="shared" si="1"/>
        <v>10</v>
      </c>
      <c r="K111" s="5" t="s">
        <v>8</v>
      </c>
      <c r="L111" s="9">
        <v>0.05</v>
      </c>
      <c r="M111">
        <v>2350</v>
      </c>
      <c r="N111">
        <v>26</v>
      </c>
      <c r="O111">
        <v>0</v>
      </c>
      <c r="P111" t="s">
        <v>426</v>
      </c>
      <c r="Q111" t="s">
        <v>336</v>
      </c>
      <c r="R111" t="s">
        <v>429</v>
      </c>
      <c r="V111" t="s">
        <v>343</v>
      </c>
      <c r="W111" t="s">
        <v>343</v>
      </c>
      <c r="X111" s="10">
        <v>45861</v>
      </c>
      <c r="Y111" s="6"/>
      <c r="Z111" s="5">
        <v>0</v>
      </c>
      <c r="AA111" s="6"/>
      <c r="AB111" s="6"/>
      <c r="AC111" s="6"/>
    </row>
    <row r="112" spans="1:29" s="4" customFormat="1" x14ac:dyDescent="0.25">
      <c r="A112" s="5">
        <v>107</v>
      </c>
      <c r="D112" t="s">
        <v>432</v>
      </c>
      <c r="F112" t="s">
        <v>576</v>
      </c>
      <c r="G112" s="17">
        <v>10</v>
      </c>
      <c r="H112" s="8"/>
      <c r="I112" s="6"/>
      <c r="J112" s="7">
        <f t="shared" si="1"/>
        <v>10</v>
      </c>
      <c r="K112" s="5" t="s">
        <v>8</v>
      </c>
      <c r="L112" s="9">
        <v>0.05</v>
      </c>
      <c r="M112">
        <v>2700</v>
      </c>
      <c r="N112">
        <v>26</v>
      </c>
      <c r="O112">
        <v>0</v>
      </c>
      <c r="P112" t="s">
        <v>426</v>
      </c>
      <c r="Q112" t="s">
        <v>336</v>
      </c>
      <c r="R112" t="s">
        <v>429</v>
      </c>
      <c r="V112" t="s">
        <v>343</v>
      </c>
      <c r="W112" t="s">
        <v>343</v>
      </c>
      <c r="X112" s="10">
        <v>45861</v>
      </c>
      <c r="Y112" s="6"/>
      <c r="Z112" s="5">
        <v>0</v>
      </c>
      <c r="AA112" s="6"/>
      <c r="AB112" s="6"/>
      <c r="AC112" s="6"/>
    </row>
    <row r="113" spans="1:29" s="4" customFormat="1" x14ac:dyDescent="0.25">
      <c r="A113" s="5">
        <v>108</v>
      </c>
      <c r="D113" t="s">
        <v>433</v>
      </c>
      <c r="F113" t="s">
        <v>577</v>
      </c>
      <c r="G113" s="17">
        <v>10</v>
      </c>
      <c r="H113" s="8"/>
      <c r="I113" s="6"/>
      <c r="J113" s="7">
        <f t="shared" si="1"/>
        <v>10</v>
      </c>
      <c r="K113" s="5" t="s">
        <v>8</v>
      </c>
      <c r="L113" s="9">
        <v>0.05</v>
      </c>
      <c r="M113">
        <v>2350</v>
      </c>
      <c r="N113">
        <v>33</v>
      </c>
      <c r="O113">
        <v>0</v>
      </c>
      <c r="P113" t="s">
        <v>426</v>
      </c>
      <c r="Q113" t="s">
        <v>336</v>
      </c>
      <c r="R113" t="s">
        <v>595</v>
      </c>
      <c r="V113" t="s">
        <v>343</v>
      </c>
      <c r="W113" t="s">
        <v>343</v>
      </c>
      <c r="X113" s="10">
        <v>45861</v>
      </c>
      <c r="Y113" s="6"/>
      <c r="Z113" s="5">
        <v>0</v>
      </c>
      <c r="AA113" s="6"/>
      <c r="AB113" s="6"/>
      <c r="AC113" s="6"/>
    </row>
    <row r="114" spans="1:29" s="4" customFormat="1" x14ac:dyDescent="0.25">
      <c r="A114" s="5">
        <v>109</v>
      </c>
      <c r="D114" t="s">
        <v>434</v>
      </c>
      <c r="F114" t="s">
        <v>578</v>
      </c>
      <c r="G114" s="17">
        <v>10</v>
      </c>
      <c r="H114" s="8"/>
      <c r="I114" s="6"/>
      <c r="J114" s="7">
        <f t="shared" si="1"/>
        <v>10</v>
      </c>
      <c r="K114" s="5" t="s">
        <v>8</v>
      </c>
      <c r="L114" s="9">
        <v>0.05</v>
      </c>
      <c r="M114">
        <v>2700</v>
      </c>
      <c r="N114">
        <v>33</v>
      </c>
      <c r="O114">
        <v>0</v>
      </c>
      <c r="P114" t="s">
        <v>426</v>
      </c>
      <c r="Q114" t="s">
        <v>336</v>
      </c>
      <c r="R114" t="s">
        <v>594</v>
      </c>
      <c r="V114" t="s">
        <v>343</v>
      </c>
      <c r="W114" t="s">
        <v>343</v>
      </c>
      <c r="X114" s="10">
        <v>45861</v>
      </c>
      <c r="Y114" s="6"/>
      <c r="Z114" s="5">
        <v>0</v>
      </c>
      <c r="AA114" s="6"/>
      <c r="AB114" s="6"/>
      <c r="AC114" s="6"/>
    </row>
    <row r="115" spans="1:29" s="4" customFormat="1" x14ac:dyDescent="0.25">
      <c r="A115" s="5">
        <v>110</v>
      </c>
      <c r="D115" t="s">
        <v>435</v>
      </c>
      <c r="F115" t="s">
        <v>436</v>
      </c>
      <c r="G115" s="17">
        <v>10</v>
      </c>
      <c r="H115" s="8"/>
      <c r="I115" s="6"/>
      <c r="J115" s="7">
        <f t="shared" si="1"/>
        <v>10</v>
      </c>
      <c r="K115" s="5" t="s">
        <v>8</v>
      </c>
      <c r="L115" s="9">
        <v>0.05</v>
      </c>
      <c r="M115">
        <v>5000</v>
      </c>
      <c r="N115">
        <v>74</v>
      </c>
      <c r="O115">
        <v>0</v>
      </c>
      <c r="P115" t="s">
        <v>426</v>
      </c>
      <c r="Q115" t="s">
        <v>336</v>
      </c>
      <c r="R115" t="s">
        <v>427</v>
      </c>
      <c r="V115" t="s">
        <v>343</v>
      </c>
      <c r="W115" t="s">
        <v>343</v>
      </c>
      <c r="X115" s="10">
        <v>45861</v>
      </c>
      <c r="Y115" s="6"/>
      <c r="Z115" s="5">
        <v>0</v>
      </c>
      <c r="AA115" s="6"/>
      <c r="AB115" s="6"/>
      <c r="AC115" s="6"/>
    </row>
    <row r="116" spans="1:29" s="4" customFormat="1" x14ac:dyDescent="0.25">
      <c r="A116" s="5">
        <v>111</v>
      </c>
      <c r="D116" t="s">
        <v>437</v>
      </c>
      <c r="F116" t="s">
        <v>579</v>
      </c>
      <c r="G116" s="17">
        <v>16.3</v>
      </c>
      <c r="H116" s="8">
        <v>0.1</v>
      </c>
      <c r="I116" s="6"/>
      <c r="J116" s="7">
        <f t="shared" si="1"/>
        <v>17.930000000000003</v>
      </c>
      <c r="K116" s="5" t="s">
        <v>8</v>
      </c>
      <c r="L116" s="9">
        <v>0.05</v>
      </c>
      <c r="M116">
        <v>2350</v>
      </c>
      <c r="N116">
        <v>81</v>
      </c>
      <c r="O116">
        <v>0</v>
      </c>
      <c r="P116" t="s">
        <v>426</v>
      </c>
      <c r="Q116" t="s">
        <v>336</v>
      </c>
      <c r="R116" t="s">
        <v>594</v>
      </c>
      <c r="V116" t="s">
        <v>343</v>
      </c>
      <c r="W116" t="s">
        <v>343</v>
      </c>
      <c r="X116" s="10">
        <v>45861</v>
      </c>
      <c r="Y116" s="6"/>
      <c r="Z116" s="5">
        <v>0</v>
      </c>
      <c r="AA116" s="6"/>
      <c r="AB116" s="6"/>
      <c r="AC116" s="6"/>
    </row>
    <row r="117" spans="1:29" s="4" customFormat="1" x14ac:dyDescent="0.25">
      <c r="A117" s="5">
        <v>112</v>
      </c>
      <c r="D117" t="s">
        <v>439</v>
      </c>
      <c r="F117" t="s">
        <v>581</v>
      </c>
      <c r="G117" s="17">
        <v>18.8</v>
      </c>
      <c r="H117" s="8">
        <v>0.1</v>
      </c>
      <c r="I117" s="6"/>
      <c r="J117" s="7">
        <f t="shared" si="1"/>
        <v>20.680000000000003</v>
      </c>
      <c r="K117" s="5" t="s">
        <v>8</v>
      </c>
      <c r="L117" s="9">
        <v>0.05</v>
      </c>
      <c r="M117">
        <v>3900</v>
      </c>
      <c r="N117">
        <v>81</v>
      </c>
      <c r="O117">
        <v>0</v>
      </c>
      <c r="P117" t="s">
        <v>426</v>
      </c>
      <c r="Q117" t="s">
        <v>336</v>
      </c>
      <c r="R117" t="s">
        <v>594</v>
      </c>
      <c r="V117" t="s">
        <v>343</v>
      </c>
      <c r="W117" t="s">
        <v>343</v>
      </c>
      <c r="X117" s="10">
        <v>45861</v>
      </c>
      <c r="Y117" s="6"/>
      <c r="Z117" s="5">
        <v>0</v>
      </c>
      <c r="AA117" s="6"/>
      <c r="AB117" s="6"/>
      <c r="AC117" s="6"/>
    </row>
    <row r="118" spans="1:29" s="4" customFormat="1" x14ac:dyDescent="0.25">
      <c r="A118" s="5">
        <v>113</v>
      </c>
      <c r="D118" t="s">
        <v>438</v>
      </c>
      <c r="F118" t="s">
        <v>580</v>
      </c>
      <c r="G118" s="17">
        <v>27.3</v>
      </c>
      <c r="H118" s="8">
        <v>0.1</v>
      </c>
      <c r="I118" s="6"/>
      <c r="J118" s="7">
        <f t="shared" si="1"/>
        <v>30.030000000000005</v>
      </c>
      <c r="K118" s="5" t="s">
        <v>8</v>
      </c>
      <c r="L118" s="9">
        <v>0.05</v>
      </c>
      <c r="M118">
        <v>2350</v>
      </c>
      <c r="N118">
        <v>81</v>
      </c>
      <c r="O118">
        <v>0</v>
      </c>
      <c r="P118" t="s">
        <v>426</v>
      </c>
      <c r="Q118" t="s">
        <v>336</v>
      </c>
      <c r="R118" t="s">
        <v>429</v>
      </c>
      <c r="V118" t="s">
        <v>343</v>
      </c>
      <c r="W118" t="s">
        <v>343</v>
      </c>
      <c r="X118" s="10">
        <v>45861</v>
      </c>
      <c r="Y118" s="6"/>
      <c r="Z118" s="5">
        <v>0</v>
      </c>
      <c r="AA118" s="6"/>
      <c r="AB118" s="6"/>
      <c r="AC118" s="6"/>
    </row>
    <row r="119" spans="1:29" s="4" customFormat="1" x14ac:dyDescent="0.25">
      <c r="A119" s="5">
        <v>114</v>
      </c>
      <c r="D119" t="s">
        <v>440</v>
      </c>
      <c r="F119" t="s">
        <v>582</v>
      </c>
      <c r="G119" s="17">
        <v>36.799999999999997</v>
      </c>
      <c r="H119" s="8">
        <v>0.1</v>
      </c>
      <c r="I119" s="6"/>
      <c r="J119" s="7">
        <f t="shared" si="1"/>
        <v>40.479999999999997</v>
      </c>
      <c r="K119" s="5" t="s">
        <v>8</v>
      </c>
      <c r="L119" s="9">
        <v>0.05</v>
      </c>
      <c r="M119">
        <v>3900</v>
      </c>
      <c r="N119">
        <v>81</v>
      </c>
      <c r="O119">
        <v>0</v>
      </c>
      <c r="P119" t="s">
        <v>426</v>
      </c>
      <c r="Q119" t="s">
        <v>336</v>
      </c>
      <c r="R119" t="s">
        <v>429</v>
      </c>
      <c r="V119" t="s">
        <v>343</v>
      </c>
      <c r="W119" t="s">
        <v>343</v>
      </c>
      <c r="X119" s="10">
        <v>45861</v>
      </c>
      <c r="Y119" s="6"/>
      <c r="Z119" s="5">
        <v>0</v>
      </c>
      <c r="AA119" s="6"/>
      <c r="AB119" s="6"/>
      <c r="AC119" s="6"/>
    </row>
    <row r="120" spans="1:29" s="4" customFormat="1" x14ac:dyDescent="0.25">
      <c r="A120" s="5">
        <v>115</v>
      </c>
      <c r="D120" t="s">
        <v>441</v>
      </c>
      <c r="F120" t="s">
        <v>583</v>
      </c>
      <c r="G120" s="17">
        <v>3.95</v>
      </c>
      <c r="H120" s="8"/>
      <c r="I120" s="6"/>
      <c r="J120" s="7">
        <f t="shared" si="1"/>
        <v>3.95</v>
      </c>
      <c r="K120" s="5" t="s">
        <v>8</v>
      </c>
      <c r="L120" s="9">
        <v>0.05</v>
      </c>
      <c r="M120">
        <v>2350</v>
      </c>
      <c r="N120">
        <v>16</v>
      </c>
      <c r="O120">
        <v>0</v>
      </c>
      <c r="P120" t="s">
        <v>426</v>
      </c>
      <c r="Q120" t="s">
        <v>336</v>
      </c>
      <c r="R120" t="s">
        <v>594</v>
      </c>
      <c r="V120" t="s">
        <v>343</v>
      </c>
      <c r="W120" t="s">
        <v>343</v>
      </c>
      <c r="X120" s="10">
        <v>45861</v>
      </c>
      <c r="Y120" s="6"/>
      <c r="Z120" s="5">
        <v>0</v>
      </c>
      <c r="AA120" s="6"/>
      <c r="AB120" s="6"/>
      <c r="AC120" s="6"/>
    </row>
    <row r="121" spans="1:29" s="4" customFormat="1" x14ac:dyDescent="0.25">
      <c r="A121" s="5">
        <v>116</v>
      </c>
      <c r="D121" t="s">
        <v>462</v>
      </c>
      <c r="F121" t="s">
        <v>463</v>
      </c>
      <c r="G121" s="17">
        <v>3.3</v>
      </c>
      <c r="H121" s="8"/>
      <c r="I121" s="8">
        <v>0.2</v>
      </c>
      <c r="J121" s="7">
        <f t="shared" si="1"/>
        <v>2.64</v>
      </c>
      <c r="K121" s="5" t="s">
        <v>8</v>
      </c>
      <c r="L121" s="9">
        <v>0.04</v>
      </c>
      <c r="M121">
        <v>120</v>
      </c>
      <c r="O121">
        <v>0</v>
      </c>
      <c r="P121" t="s">
        <v>450</v>
      </c>
      <c r="Q121" t="s">
        <v>336</v>
      </c>
      <c r="R121" t="s">
        <v>427</v>
      </c>
      <c r="V121" t="s">
        <v>343</v>
      </c>
      <c r="W121" t="s">
        <v>343</v>
      </c>
      <c r="X121" s="10">
        <v>45861</v>
      </c>
      <c r="Y121" s="6"/>
      <c r="Z121" s="5">
        <v>0</v>
      </c>
      <c r="AA121" s="6"/>
      <c r="AB121" s="6"/>
      <c r="AC121" s="6"/>
    </row>
    <row r="122" spans="1:29" s="4" customFormat="1" x14ac:dyDescent="0.25">
      <c r="A122" s="5">
        <v>117</v>
      </c>
      <c r="D122" t="s">
        <v>460</v>
      </c>
      <c r="F122" t="s">
        <v>461</v>
      </c>
      <c r="G122" s="17">
        <v>3.3</v>
      </c>
      <c r="H122" s="8"/>
      <c r="I122" s="8">
        <v>0.2</v>
      </c>
      <c r="J122" s="7">
        <f t="shared" si="1"/>
        <v>2.64</v>
      </c>
      <c r="K122" s="5" t="s">
        <v>8</v>
      </c>
      <c r="L122" s="9">
        <v>0.04</v>
      </c>
      <c r="M122">
        <v>100</v>
      </c>
      <c r="O122">
        <v>0</v>
      </c>
      <c r="P122" t="s">
        <v>450</v>
      </c>
      <c r="Q122" t="s">
        <v>336</v>
      </c>
      <c r="R122" t="s">
        <v>427</v>
      </c>
      <c r="V122" t="s">
        <v>343</v>
      </c>
      <c r="W122" t="s">
        <v>343</v>
      </c>
      <c r="X122" s="10">
        <v>45861</v>
      </c>
      <c r="Y122" s="6"/>
      <c r="Z122" s="5">
        <v>0</v>
      </c>
      <c r="AA122" s="6"/>
      <c r="AB122" s="6"/>
      <c r="AC122" s="6"/>
    </row>
    <row r="123" spans="1:29" s="4" customFormat="1" x14ac:dyDescent="0.25">
      <c r="A123" s="5">
        <v>118</v>
      </c>
      <c r="D123" t="s">
        <v>352</v>
      </c>
      <c r="F123" t="s">
        <v>353</v>
      </c>
      <c r="G123" s="17">
        <v>57.13</v>
      </c>
      <c r="H123" s="8"/>
      <c r="I123" s="8">
        <v>0.1</v>
      </c>
      <c r="J123" s="7">
        <f t="shared" si="1"/>
        <v>51.417000000000002</v>
      </c>
      <c r="K123" s="5" t="s">
        <v>8</v>
      </c>
      <c r="L123" s="9">
        <v>0.02</v>
      </c>
      <c r="M123">
        <v>500</v>
      </c>
      <c r="O123">
        <v>0</v>
      </c>
      <c r="P123" t="s">
        <v>335</v>
      </c>
      <c r="Q123" t="s">
        <v>336</v>
      </c>
      <c r="V123" t="s">
        <v>337</v>
      </c>
      <c r="W123" t="s">
        <v>338</v>
      </c>
      <c r="X123" s="10">
        <v>45861</v>
      </c>
      <c r="Y123" s="6"/>
      <c r="Z123" s="5">
        <v>0</v>
      </c>
      <c r="AA123" s="6"/>
      <c r="AB123" s="6"/>
      <c r="AC123" s="6"/>
    </row>
    <row r="124" spans="1:29" s="4" customFormat="1" x14ac:dyDescent="0.25">
      <c r="A124" s="5">
        <v>119</v>
      </c>
      <c r="D124" t="s">
        <v>333</v>
      </c>
      <c r="F124" t="s">
        <v>334</v>
      </c>
      <c r="G124" s="17">
        <v>34.75</v>
      </c>
      <c r="H124" s="8"/>
      <c r="I124" s="8">
        <v>0.1</v>
      </c>
      <c r="J124" s="7">
        <f t="shared" si="1"/>
        <v>31.275000000000002</v>
      </c>
      <c r="K124" s="5" t="s">
        <v>8</v>
      </c>
      <c r="L124" s="9">
        <v>0.02</v>
      </c>
      <c r="M124">
        <v>500</v>
      </c>
      <c r="O124">
        <v>0</v>
      </c>
      <c r="P124" t="s">
        <v>335</v>
      </c>
      <c r="Q124" t="s">
        <v>336</v>
      </c>
      <c r="V124" t="s">
        <v>337</v>
      </c>
      <c r="W124" t="s">
        <v>338</v>
      </c>
      <c r="X124" s="10">
        <v>45861</v>
      </c>
      <c r="Y124" s="6"/>
      <c r="Z124" s="5">
        <v>0</v>
      </c>
      <c r="AA124" s="6"/>
      <c r="AB124" s="6"/>
      <c r="AC124" s="6"/>
    </row>
    <row r="125" spans="1:29" s="4" customFormat="1" x14ac:dyDescent="0.25">
      <c r="A125" s="5">
        <v>120</v>
      </c>
      <c r="D125" t="s">
        <v>339</v>
      </c>
      <c r="F125" t="s">
        <v>340</v>
      </c>
      <c r="G125" s="17">
        <v>46.63</v>
      </c>
      <c r="H125" s="8"/>
      <c r="I125" s="8">
        <v>0.1</v>
      </c>
      <c r="J125" s="7">
        <f t="shared" si="1"/>
        <v>41.967000000000006</v>
      </c>
      <c r="K125" s="5" t="s">
        <v>8</v>
      </c>
      <c r="L125" s="9">
        <v>0.02</v>
      </c>
      <c r="M125">
        <v>500</v>
      </c>
      <c r="O125">
        <v>0</v>
      </c>
      <c r="P125" t="s">
        <v>335</v>
      </c>
      <c r="Q125" t="s">
        <v>336</v>
      </c>
      <c r="V125" t="s">
        <v>337</v>
      </c>
      <c r="W125" t="s">
        <v>338</v>
      </c>
      <c r="X125" s="10">
        <v>45861</v>
      </c>
      <c r="Y125" s="6"/>
      <c r="Z125" s="5">
        <v>0</v>
      </c>
      <c r="AA125" s="6"/>
      <c r="AB125" s="6"/>
      <c r="AC125" s="6"/>
    </row>
    <row r="126" spans="1:29" s="4" customFormat="1" x14ac:dyDescent="0.25">
      <c r="A126" s="5">
        <v>121</v>
      </c>
      <c r="D126" t="s">
        <v>341</v>
      </c>
      <c r="F126" t="s">
        <v>342</v>
      </c>
      <c r="G126" s="17">
        <v>4.6100000000000003</v>
      </c>
      <c r="H126" s="8">
        <v>0.1</v>
      </c>
      <c r="I126" s="8"/>
      <c r="J126" s="7">
        <f t="shared" si="1"/>
        <v>5.0710000000000006</v>
      </c>
      <c r="K126" s="5" t="s">
        <v>8</v>
      </c>
      <c r="L126" s="9">
        <v>0.02</v>
      </c>
      <c r="M126">
        <v>350</v>
      </c>
      <c r="O126">
        <v>0</v>
      </c>
      <c r="P126" t="s">
        <v>335</v>
      </c>
      <c r="Q126" t="s">
        <v>336</v>
      </c>
      <c r="V126" t="s">
        <v>343</v>
      </c>
      <c r="W126" t="s">
        <v>343</v>
      </c>
      <c r="X126" s="10">
        <v>45861</v>
      </c>
      <c r="Y126" s="6"/>
      <c r="Z126" s="5">
        <v>0</v>
      </c>
      <c r="AA126" s="6"/>
      <c r="AB126" s="6"/>
      <c r="AC126" s="6"/>
    </row>
    <row r="127" spans="1:29" s="4" customFormat="1" x14ac:dyDescent="0.25">
      <c r="A127" s="5">
        <v>122</v>
      </c>
      <c r="D127" t="s">
        <v>354</v>
      </c>
      <c r="F127" t="s">
        <v>355</v>
      </c>
      <c r="G127" s="17">
        <v>4.8499999999999996</v>
      </c>
      <c r="H127" s="8">
        <v>0.1</v>
      </c>
      <c r="I127" s="8"/>
      <c r="J127" s="7">
        <f t="shared" si="1"/>
        <v>5.335</v>
      </c>
      <c r="K127" s="5" t="s">
        <v>8</v>
      </c>
      <c r="L127" s="9">
        <v>0.02</v>
      </c>
      <c r="M127">
        <v>350</v>
      </c>
      <c r="O127">
        <v>0</v>
      </c>
      <c r="P127" t="s">
        <v>335</v>
      </c>
      <c r="Q127" t="s">
        <v>336</v>
      </c>
      <c r="V127" t="s">
        <v>343</v>
      </c>
      <c r="W127" t="s">
        <v>343</v>
      </c>
      <c r="X127" s="10">
        <v>45861</v>
      </c>
      <c r="Y127" s="6"/>
      <c r="Z127" s="5">
        <v>0</v>
      </c>
      <c r="AA127" s="6"/>
      <c r="AB127" s="6"/>
      <c r="AC127" s="6"/>
    </row>
    <row r="128" spans="1:29" s="4" customFormat="1" x14ac:dyDescent="0.25">
      <c r="A128" s="5">
        <v>123</v>
      </c>
      <c r="D128" t="s">
        <v>356</v>
      </c>
      <c r="F128" t="s">
        <v>357</v>
      </c>
      <c r="G128" s="17">
        <v>5.2</v>
      </c>
      <c r="H128" s="8">
        <v>0.1</v>
      </c>
      <c r="I128" s="8"/>
      <c r="J128" s="7">
        <f t="shared" si="1"/>
        <v>5.7200000000000006</v>
      </c>
      <c r="K128" s="5" t="s">
        <v>8</v>
      </c>
      <c r="L128" s="9">
        <v>0.02</v>
      </c>
      <c r="M128">
        <v>400</v>
      </c>
      <c r="O128">
        <v>0</v>
      </c>
      <c r="P128" t="s">
        <v>335</v>
      </c>
      <c r="Q128" t="s">
        <v>336</v>
      </c>
      <c r="V128" t="s">
        <v>343</v>
      </c>
      <c r="W128" t="s">
        <v>343</v>
      </c>
      <c r="X128" s="10">
        <v>45861</v>
      </c>
      <c r="Y128" s="6"/>
      <c r="Z128" s="5">
        <v>0</v>
      </c>
      <c r="AA128" s="6"/>
      <c r="AB128" s="6"/>
      <c r="AC128" s="6"/>
    </row>
    <row r="129" spans="1:29" s="4" customFormat="1" x14ac:dyDescent="0.25">
      <c r="A129" s="5">
        <v>124</v>
      </c>
      <c r="D129" t="s">
        <v>344</v>
      </c>
      <c r="F129" t="s">
        <v>345</v>
      </c>
      <c r="G129" s="17">
        <v>4.95</v>
      </c>
      <c r="H129" s="8">
        <v>0.1</v>
      </c>
      <c r="I129" s="8"/>
      <c r="J129" s="7">
        <f t="shared" si="1"/>
        <v>5.4450000000000003</v>
      </c>
      <c r="K129" s="5" t="s">
        <v>8</v>
      </c>
      <c r="L129" s="9">
        <v>0.02</v>
      </c>
      <c r="M129">
        <v>400</v>
      </c>
      <c r="O129">
        <v>0</v>
      </c>
      <c r="P129" t="s">
        <v>335</v>
      </c>
      <c r="Q129" t="s">
        <v>336</v>
      </c>
      <c r="V129" t="s">
        <v>343</v>
      </c>
      <c r="W129" t="s">
        <v>343</v>
      </c>
      <c r="X129" s="10">
        <v>45861</v>
      </c>
      <c r="Y129" s="6"/>
      <c r="Z129" s="5">
        <v>0</v>
      </c>
      <c r="AA129" s="6"/>
      <c r="AB129" s="6"/>
      <c r="AC129" s="6"/>
    </row>
    <row r="130" spans="1:29" s="4" customFormat="1" x14ac:dyDescent="0.25">
      <c r="A130" s="5">
        <v>125</v>
      </c>
      <c r="D130" t="s">
        <v>358</v>
      </c>
      <c r="F130" t="s">
        <v>359</v>
      </c>
      <c r="G130" s="17">
        <v>5.55</v>
      </c>
      <c r="H130" s="8">
        <v>0.1</v>
      </c>
      <c r="I130" s="8"/>
      <c r="J130" s="7">
        <f t="shared" si="1"/>
        <v>6.1050000000000004</v>
      </c>
      <c r="K130" s="5" t="s">
        <v>8</v>
      </c>
      <c r="L130" s="9">
        <v>0.02</v>
      </c>
      <c r="M130">
        <v>450</v>
      </c>
      <c r="O130">
        <v>0</v>
      </c>
      <c r="P130" t="s">
        <v>335</v>
      </c>
      <c r="Q130" t="s">
        <v>336</v>
      </c>
      <c r="V130" t="s">
        <v>343</v>
      </c>
      <c r="W130" t="s">
        <v>343</v>
      </c>
      <c r="X130" s="10">
        <v>45861</v>
      </c>
      <c r="Y130" s="6"/>
      <c r="Z130" s="5">
        <v>0</v>
      </c>
      <c r="AA130" s="6"/>
      <c r="AB130" s="6"/>
      <c r="AC130" s="6"/>
    </row>
    <row r="131" spans="1:29" s="4" customFormat="1" x14ac:dyDescent="0.25">
      <c r="A131" s="5">
        <v>126</v>
      </c>
      <c r="D131" t="s">
        <v>346</v>
      </c>
      <c r="F131" t="s">
        <v>347</v>
      </c>
      <c r="G131" s="17">
        <v>5.28</v>
      </c>
      <c r="H131" s="8">
        <v>0.1</v>
      </c>
      <c r="I131" s="8"/>
      <c r="J131" s="7">
        <f t="shared" si="1"/>
        <v>5.8080000000000007</v>
      </c>
      <c r="K131" s="5" t="s">
        <v>8</v>
      </c>
      <c r="L131" s="9">
        <v>0.02</v>
      </c>
      <c r="M131">
        <v>450</v>
      </c>
      <c r="O131">
        <v>0</v>
      </c>
      <c r="P131" t="s">
        <v>335</v>
      </c>
      <c r="Q131" t="s">
        <v>336</v>
      </c>
      <c r="V131" t="s">
        <v>343</v>
      </c>
      <c r="W131" t="s">
        <v>343</v>
      </c>
      <c r="X131" s="10">
        <v>45861</v>
      </c>
      <c r="Y131" s="6"/>
      <c r="Z131" s="5">
        <v>0</v>
      </c>
      <c r="AA131" s="6"/>
      <c r="AB131" s="6"/>
      <c r="AC131" s="6"/>
    </row>
    <row r="132" spans="1:29" s="4" customFormat="1" x14ac:dyDescent="0.25">
      <c r="A132" s="5">
        <v>127</v>
      </c>
      <c r="D132" t="s">
        <v>360</v>
      </c>
      <c r="F132" t="s">
        <v>361</v>
      </c>
      <c r="G132" s="17">
        <v>5.98</v>
      </c>
      <c r="H132" s="8">
        <v>0.1</v>
      </c>
      <c r="I132" s="8"/>
      <c r="J132" s="7">
        <f t="shared" si="1"/>
        <v>6.5780000000000012</v>
      </c>
      <c r="K132" s="5" t="s">
        <v>8</v>
      </c>
      <c r="L132" s="9">
        <v>0.02</v>
      </c>
      <c r="M132">
        <v>500</v>
      </c>
      <c r="O132">
        <v>0</v>
      </c>
      <c r="P132" t="s">
        <v>335</v>
      </c>
      <c r="Q132" t="s">
        <v>336</v>
      </c>
      <c r="V132" t="s">
        <v>343</v>
      </c>
      <c r="W132" t="s">
        <v>343</v>
      </c>
      <c r="X132" s="10">
        <v>45861</v>
      </c>
      <c r="Y132" s="6"/>
      <c r="Z132" s="5">
        <v>0</v>
      </c>
      <c r="AA132" s="6"/>
      <c r="AB132" s="6"/>
      <c r="AC132" s="6"/>
    </row>
    <row r="133" spans="1:29" s="4" customFormat="1" x14ac:dyDescent="0.25">
      <c r="A133" s="5">
        <v>128</v>
      </c>
      <c r="D133" t="s">
        <v>348</v>
      </c>
      <c r="F133" t="s">
        <v>349</v>
      </c>
      <c r="G133" s="17">
        <v>5.69</v>
      </c>
      <c r="H133" s="8">
        <v>0.1</v>
      </c>
      <c r="I133" s="8"/>
      <c r="J133" s="7">
        <f t="shared" si="1"/>
        <v>6.2590000000000012</v>
      </c>
      <c r="K133" s="5" t="s">
        <v>8</v>
      </c>
      <c r="L133" s="9">
        <v>0.02</v>
      </c>
      <c r="M133">
        <v>500</v>
      </c>
      <c r="O133">
        <v>0</v>
      </c>
      <c r="P133" t="s">
        <v>335</v>
      </c>
      <c r="Q133" t="s">
        <v>336</v>
      </c>
      <c r="V133" t="s">
        <v>343</v>
      </c>
      <c r="W133" t="s">
        <v>343</v>
      </c>
      <c r="X133" s="10">
        <v>45861</v>
      </c>
      <c r="Y133" s="6"/>
      <c r="Z133" s="5">
        <v>0</v>
      </c>
      <c r="AA133" s="6"/>
      <c r="AB133" s="6"/>
      <c r="AC133" s="6"/>
    </row>
    <row r="134" spans="1:29" s="4" customFormat="1" x14ac:dyDescent="0.25">
      <c r="A134" s="5">
        <v>129</v>
      </c>
      <c r="D134" t="s">
        <v>350</v>
      </c>
      <c r="F134" t="s">
        <v>351</v>
      </c>
      <c r="G134" s="17">
        <v>27.34</v>
      </c>
      <c r="H134" s="8"/>
      <c r="I134" s="8">
        <v>0.1</v>
      </c>
      <c r="J134" s="7">
        <f t="shared" si="1"/>
        <v>24.606000000000002</v>
      </c>
      <c r="K134" s="5" t="s">
        <v>8</v>
      </c>
      <c r="L134" s="9">
        <v>0.02</v>
      </c>
      <c r="M134">
        <v>510</v>
      </c>
      <c r="O134">
        <v>0</v>
      </c>
      <c r="P134" t="s">
        <v>335</v>
      </c>
      <c r="Q134" t="s">
        <v>336</v>
      </c>
      <c r="V134" t="s">
        <v>337</v>
      </c>
      <c r="W134" t="s">
        <v>338</v>
      </c>
      <c r="X134" s="10">
        <v>45861</v>
      </c>
      <c r="Y134" s="6"/>
      <c r="Z134" s="5">
        <v>0</v>
      </c>
      <c r="AA134" s="6"/>
      <c r="AB134" s="6"/>
      <c r="AC134" s="6"/>
    </row>
    <row r="135" spans="1:29" s="3" customFormat="1" x14ac:dyDescent="0.25">
      <c r="A135" s="5">
        <v>130</v>
      </c>
      <c r="B135" s="4"/>
      <c r="C135" s="4"/>
      <c r="D135" t="s">
        <v>362</v>
      </c>
      <c r="E135" s="4"/>
      <c r="F135" t="s">
        <v>363</v>
      </c>
      <c r="G135" s="17">
        <v>30.64</v>
      </c>
      <c r="H135" s="8"/>
      <c r="I135" s="8">
        <v>0.1</v>
      </c>
      <c r="J135" s="7">
        <f t="shared" si="1"/>
        <v>27.576000000000001</v>
      </c>
      <c r="K135" s="5" t="s">
        <v>8</v>
      </c>
      <c r="L135" s="9">
        <v>0.02</v>
      </c>
      <c r="M135">
        <v>510</v>
      </c>
      <c r="N135" s="4"/>
      <c r="O135">
        <v>0</v>
      </c>
      <c r="P135" t="s">
        <v>335</v>
      </c>
      <c r="Q135" t="s">
        <v>336</v>
      </c>
      <c r="R135" s="4"/>
      <c r="S135" s="4"/>
      <c r="T135" s="4"/>
      <c r="U135" s="4"/>
      <c r="V135" t="s">
        <v>337</v>
      </c>
      <c r="W135" t="s">
        <v>338</v>
      </c>
      <c r="X135" s="10">
        <v>45861</v>
      </c>
      <c r="Y135" s="6"/>
      <c r="Z135" s="5">
        <v>0</v>
      </c>
      <c r="AA135" s="6"/>
      <c r="AB135" s="6"/>
      <c r="AC135" s="6"/>
    </row>
    <row r="136" spans="1:29" s="4" customFormat="1" x14ac:dyDescent="0.25">
      <c r="A136" s="5">
        <v>131</v>
      </c>
      <c r="D136" t="s">
        <v>364</v>
      </c>
      <c r="F136" t="s">
        <v>365</v>
      </c>
      <c r="G136" s="17">
        <v>4.87</v>
      </c>
      <c r="H136" s="8"/>
      <c r="I136" s="8">
        <v>0.1</v>
      </c>
      <c r="J136" s="7">
        <f t="shared" si="1"/>
        <v>4.383</v>
      </c>
      <c r="K136" s="5" t="s">
        <v>8</v>
      </c>
      <c r="L136" s="9">
        <v>0.02</v>
      </c>
      <c r="O136">
        <v>0</v>
      </c>
      <c r="P136" t="s">
        <v>366</v>
      </c>
      <c r="Q136" t="s">
        <v>336</v>
      </c>
      <c r="V136" t="s">
        <v>337</v>
      </c>
      <c r="W136" t="s">
        <v>338</v>
      </c>
      <c r="X136" s="10">
        <v>45861</v>
      </c>
      <c r="Y136" s="6"/>
      <c r="Z136" s="5">
        <v>0</v>
      </c>
      <c r="AA136" s="6"/>
      <c r="AB136" s="6"/>
      <c r="AC136" s="6"/>
    </row>
    <row r="137" spans="1:29" s="4" customFormat="1" x14ac:dyDescent="0.25">
      <c r="A137" s="5">
        <v>132</v>
      </c>
      <c r="D137" t="s">
        <v>369</v>
      </c>
      <c r="F137" t="s">
        <v>370</v>
      </c>
      <c r="G137" s="17">
        <v>1.75</v>
      </c>
      <c r="H137" s="8"/>
      <c r="I137" s="8">
        <v>0.2</v>
      </c>
      <c r="J137" s="7">
        <f t="shared" si="1"/>
        <v>1.4000000000000001</v>
      </c>
      <c r="K137" s="5" t="s">
        <v>8</v>
      </c>
      <c r="L137" s="9">
        <v>0.02</v>
      </c>
      <c r="O137">
        <v>0</v>
      </c>
      <c r="P137" t="s">
        <v>366</v>
      </c>
      <c r="Q137" t="s">
        <v>336</v>
      </c>
      <c r="V137" t="s">
        <v>337</v>
      </c>
      <c r="W137" t="s">
        <v>338</v>
      </c>
      <c r="X137" s="10">
        <v>45861</v>
      </c>
      <c r="Y137" s="6"/>
      <c r="Z137" s="5">
        <v>0</v>
      </c>
      <c r="AA137" s="6"/>
      <c r="AB137" s="6"/>
      <c r="AC137" s="6"/>
    </row>
    <row r="138" spans="1:29" s="4" customFormat="1" x14ac:dyDescent="0.25">
      <c r="A138" s="5">
        <v>133</v>
      </c>
      <c r="D138" t="s">
        <v>367</v>
      </c>
      <c r="F138" t="s">
        <v>368</v>
      </c>
      <c r="G138" s="17">
        <v>3.16</v>
      </c>
      <c r="H138" s="8"/>
      <c r="I138" s="8">
        <v>0.2</v>
      </c>
      <c r="J138" s="7">
        <f t="shared" si="1"/>
        <v>2.5280000000000005</v>
      </c>
      <c r="K138" s="5" t="s">
        <v>8</v>
      </c>
      <c r="L138" s="9">
        <v>0.02</v>
      </c>
      <c r="O138">
        <v>0</v>
      </c>
      <c r="P138" t="s">
        <v>366</v>
      </c>
      <c r="Q138" t="s">
        <v>336</v>
      </c>
      <c r="V138" t="s">
        <v>337</v>
      </c>
      <c r="W138" t="s">
        <v>338</v>
      </c>
      <c r="X138" s="10">
        <v>45861</v>
      </c>
      <c r="Y138" s="6"/>
      <c r="Z138" s="5">
        <v>0</v>
      </c>
      <c r="AA138" s="6"/>
      <c r="AB138" s="6"/>
      <c r="AC138" s="6"/>
    </row>
    <row r="139" spans="1:29" s="4" customFormat="1" x14ac:dyDescent="0.25">
      <c r="A139" s="5">
        <v>134</v>
      </c>
      <c r="D139" t="s">
        <v>371</v>
      </c>
      <c r="F139" t="s">
        <v>372</v>
      </c>
      <c r="G139" s="17">
        <v>6.66</v>
      </c>
      <c r="H139" s="8"/>
      <c r="I139" s="8">
        <v>0.1</v>
      </c>
      <c r="J139" s="7">
        <f t="shared" ref="J139:J205" si="3">G139*(1-I139)*(1+H139)</f>
        <v>5.9940000000000007</v>
      </c>
      <c r="K139" s="5" t="s">
        <v>8</v>
      </c>
      <c r="L139" s="9">
        <v>0.02</v>
      </c>
      <c r="O139">
        <v>0</v>
      </c>
      <c r="P139" t="s">
        <v>366</v>
      </c>
      <c r="Q139" t="s">
        <v>336</v>
      </c>
      <c r="V139" t="s">
        <v>337</v>
      </c>
      <c r="W139" t="s">
        <v>338</v>
      </c>
      <c r="X139" s="10">
        <v>45861</v>
      </c>
      <c r="Y139" s="6"/>
      <c r="Z139" s="5">
        <v>0</v>
      </c>
      <c r="AA139" s="6"/>
      <c r="AB139" s="6"/>
      <c r="AC139" s="6"/>
    </row>
    <row r="140" spans="1:29" s="4" customFormat="1" x14ac:dyDescent="0.25">
      <c r="A140" s="5">
        <v>135</v>
      </c>
      <c r="D140" t="s">
        <v>377</v>
      </c>
      <c r="F140" t="s">
        <v>378</v>
      </c>
      <c r="G140" s="17">
        <v>0.91249999999999998</v>
      </c>
      <c r="H140" s="8"/>
      <c r="I140" s="8">
        <v>0.1</v>
      </c>
      <c r="J140" s="7">
        <f t="shared" si="3"/>
        <v>0.82125000000000004</v>
      </c>
      <c r="K140" s="5" t="s">
        <v>8</v>
      </c>
      <c r="L140" s="9">
        <v>0.02</v>
      </c>
      <c r="O140">
        <v>0</v>
      </c>
      <c r="P140" t="s">
        <v>366</v>
      </c>
      <c r="Q140" t="s">
        <v>336</v>
      </c>
      <c r="V140" t="s">
        <v>343</v>
      </c>
      <c r="W140" t="s">
        <v>343</v>
      </c>
      <c r="X140" s="10">
        <v>45861</v>
      </c>
      <c r="Y140" s="6"/>
      <c r="Z140" s="5">
        <v>0</v>
      </c>
      <c r="AA140" s="6"/>
      <c r="AB140" s="6"/>
      <c r="AC140" s="6"/>
    </row>
    <row r="141" spans="1:29" s="4" customFormat="1" x14ac:dyDescent="0.25">
      <c r="A141" s="5">
        <v>136</v>
      </c>
      <c r="D141" t="s">
        <v>373</v>
      </c>
      <c r="F141" t="s">
        <v>374</v>
      </c>
      <c r="G141" s="17">
        <v>1.1625000000000001</v>
      </c>
      <c r="H141" s="8"/>
      <c r="I141" s="8">
        <v>0.1</v>
      </c>
      <c r="J141" s="7">
        <f t="shared" si="3"/>
        <v>1.0462500000000001</v>
      </c>
      <c r="K141" s="5" t="s">
        <v>8</v>
      </c>
      <c r="L141" s="9">
        <v>0.02</v>
      </c>
      <c r="O141">
        <v>0</v>
      </c>
      <c r="P141" t="s">
        <v>366</v>
      </c>
      <c r="Q141" t="s">
        <v>336</v>
      </c>
      <c r="V141" t="s">
        <v>343</v>
      </c>
      <c r="W141" t="s">
        <v>343</v>
      </c>
      <c r="X141" s="10">
        <v>45861</v>
      </c>
      <c r="Y141" s="6"/>
      <c r="Z141" s="5">
        <v>0</v>
      </c>
      <c r="AA141" s="6"/>
      <c r="AB141" s="6"/>
      <c r="AC141" s="6"/>
    </row>
    <row r="142" spans="1:29" s="4" customFormat="1" x14ac:dyDescent="0.25">
      <c r="A142" s="5">
        <v>137</v>
      </c>
      <c r="D142" t="s">
        <v>375</v>
      </c>
      <c r="F142" t="s">
        <v>376</v>
      </c>
      <c r="G142" s="17">
        <v>2.7250000000000001</v>
      </c>
      <c r="H142" s="8"/>
      <c r="I142" s="8">
        <v>0.1</v>
      </c>
      <c r="J142" s="7">
        <f t="shared" si="3"/>
        <v>2.4525000000000001</v>
      </c>
      <c r="K142" s="5" t="s">
        <v>8</v>
      </c>
      <c r="L142" s="9">
        <v>0.02</v>
      </c>
      <c r="O142">
        <v>0</v>
      </c>
      <c r="P142" t="s">
        <v>366</v>
      </c>
      <c r="Q142" t="s">
        <v>336</v>
      </c>
      <c r="V142" t="s">
        <v>343</v>
      </c>
      <c r="W142" t="s">
        <v>343</v>
      </c>
      <c r="X142" s="10">
        <v>45861</v>
      </c>
      <c r="Y142" s="6"/>
      <c r="Z142" s="5">
        <v>0</v>
      </c>
      <c r="AA142" s="6"/>
      <c r="AB142" s="6"/>
      <c r="AC142" s="6"/>
    </row>
    <row r="143" spans="1:29" s="3" customFormat="1" x14ac:dyDescent="0.25">
      <c r="A143" s="5">
        <v>138</v>
      </c>
      <c r="B143" s="4"/>
      <c r="C143" s="4"/>
      <c r="D143" t="s">
        <v>488</v>
      </c>
      <c r="E143" s="4"/>
      <c r="F143" t="s">
        <v>489</v>
      </c>
      <c r="G143" s="17">
        <v>19.3</v>
      </c>
      <c r="H143" s="8"/>
      <c r="I143" s="6"/>
      <c r="J143" s="7">
        <f t="shared" si="3"/>
        <v>19.3</v>
      </c>
      <c r="K143" s="5" t="s">
        <v>27</v>
      </c>
      <c r="L143" s="9">
        <v>0.1</v>
      </c>
      <c r="M143" s="4"/>
      <c r="N143" s="4"/>
      <c r="O143">
        <v>4</v>
      </c>
      <c r="P143" t="s">
        <v>490</v>
      </c>
      <c r="Q143" t="s">
        <v>336</v>
      </c>
      <c r="R143" s="4"/>
      <c r="S143" s="4"/>
      <c r="T143" s="4"/>
      <c r="U143" s="4"/>
      <c r="V143" t="s">
        <v>491</v>
      </c>
      <c r="W143" s="4"/>
      <c r="X143" s="10">
        <v>45861</v>
      </c>
      <c r="Y143" s="6"/>
      <c r="Z143" s="5">
        <v>0</v>
      </c>
      <c r="AA143" s="6"/>
      <c r="AB143" s="6"/>
      <c r="AC143" s="6"/>
    </row>
    <row r="144" spans="1:29" s="4" customFormat="1" x14ac:dyDescent="0.25">
      <c r="A144" s="5">
        <v>139</v>
      </c>
      <c r="D144" t="s">
        <v>554</v>
      </c>
      <c r="F144" t="s">
        <v>555</v>
      </c>
      <c r="G144" s="17">
        <v>2</v>
      </c>
      <c r="H144" s="8"/>
      <c r="I144" s="6"/>
      <c r="J144" s="7">
        <f t="shared" si="3"/>
        <v>2</v>
      </c>
      <c r="K144" s="5" t="s">
        <v>8</v>
      </c>
      <c r="L144" s="9">
        <v>0.02</v>
      </c>
      <c r="O144">
        <v>0</v>
      </c>
      <c r="P144" t="s">
        <v>537</v>
      </c>
      <c r="Q144" t="s">
        <v>336</v>
      </c>
      <c r="V144" t="s">
        <v>556</v>
      </c>
      <c r="W144" t="s">
        <v>556</v>
      </c>
      <c r="X144" s="10">
        <v>45861</v>
      </c>
      <c r="Y144" s="6"/>
      <c r="Z144" s="5">
        <v>0</v>
      </c>
      <c r="AA144" s="6"/>
      <c r="AB144" s="6"/>
      <c r="AC144" s="6"/>
    </row>
    <row r="145" spans="1:29" s="4" customFormat="1" x14ac:dyDescent="0.25">
      <c r="A145" s="5">
        <v>140</v>
      </c>
      <c r="D145" t="s">
        <v>559</v>
      </c>
      <c r="F145" t="s">
        <v>560</v>
      </c>
      <c r="G145" s="24"/>
      <c r="H145" s="8"/>
      <c r="I145" s="8"/>
      <c r="J145" s="7">
        <f t="shared" si="3"/>
        <v>0</v>
      </c>
      <c r="K145" s="5" t="s">
        <v>8</v>
      </c>
      <c r="L145" s="9">
        <v>0.02</v>
      </c>
      <c r="O145">
        <v>0</v>
      </c>
      <c r="P145" t="s">
        <v>336</v>
      </c>
      <c r="Q145" t="s">
        <v>336</v>
      </c>
      <c r="X145" s="10">
        <v>45861</v>
      </c>
      <c r="Y145" s="6"/>
      <c r="Z145" s="5">
        <v>0</v>
      </c>
      <c r="AA145" s="6"/>
      <c r="AB145" s="6"/>
      <c r="AC145" s="6"/>
    </row>
    <row r="146" spans="1:29" s="4" customFormat="1" x14ac:dyDescent="0.25">
      <c r="A146" s="5">
        <v>141</v>
      </c>
      <c r="D146" t="s">
        <v>561</v>
      </c>
      <c r="F146" t="s">
        <v>560</v>
      </c>
      <c r="G146" s="24"/>
      <c r="H146" s="8"/>
      <c r="I146" s="8"/>
      <c r="J146" s="7">
        <f t="shared" si="3"/>
        <v>0</v>
      </c>
      <c r="K146" s="5" t="s">
        <v>8</v>
      </c>
      <c r="L146" s="9">
        <v>0.02</v>
      </c>
      <c r="O146">
        <v>0</v>
      </c>
      <c r="P146" t="s">
        <v>336</v>
      </c>
      <c r="Q146" t="s">
        <v>336</v>
      </c>
      <c r="X146" s="10">
        <v>45861</v>
      </c>
      <c r="Y146" s="6"/>
      <c r="Z146" s="5">
        <v>0</v>
      </c>
      <c r="AA146" s="6"/>
      <c r="AB146" s="6"/>
      <c r="AC146" s="6"/>
    </row>
    <row r="147" spans="1:29" s="4" customFormat="1" x14ac:dyDescent="0.25">
      <c r="A147" s="5">
        <v>142</v>
      </c>
      <c r="D147" t="s">
        <v>562</v>
      </c>
      <c r="F147" t="s">
        <v>560</v>
      </c>
      <c r="G147" s="24"/>
      <c r="H147" s="8"/>
      <c r="I147" s="8"/>
      <c r="J147" s="7">
        <f t="shared" si="3"/>
        <v>0</v>
      </c>
      <c r="K147" s="5" t="s">
        <v>8</v>
      </c>
      <c r="L147" s="9">
        <v>0.02</v>
      </c>
      <c r="O147">
        <v>0</v>
      </c>
      <c r="P147" t="s">
        <v>336</v>
      </c>
      <c r="Q147" t="s">
        <v>336</v>
      </c>
      <c r="X147" s="10">
        <v>45861</v>
      </c>
      <c r="Y147" s="6"/>
      <c r="Z147" s="5">
        <v>0</v>
      </c>
      <c r="AA147" s="6"/>
      <c r="AB147" s="6"/>
      <c r="AC147" s="6"/>
    </row>
    <row r="148" spans="1:29" s="4" customFormat="1" x14ac:dyDescent="0.25">
      <c r="A148" s="5">
        <v>143</v>
      </c>
      <c r="D148" t="s">
        <v>563</v>
      </c>
      <c r="F148" t="s">
        <v>560</v>
      </c>
      <c r="G148" s="24"/>
      <c r="H148" s="8"/>
      <c r="I148" s="8"/>
      <c r="J148" s="7">
        <f t="shared" si="3"/>
        <v>0</v>
      </c>
      <c r="K148" s="5" t="s">
        <v>8</v>
      </c>
      <c r="L148" s="9">
        <v>0.02</v>
      </c>
      <c r="O148">
        <v>0</v>
      </c>
      <c r="P148" t="s">
        <v>336</v>
      </c>
      <c r="Q148" t="s">
        <v>336</v>
      </c>
      <c r="X148" s="10">
        <v>45861</v>
      </c>
      <c r="Y148" s="6"/>
      <c r="Z148" s="5">
        <v>0</v>
      </c>
      <c r="AA148" s="6"/>
      <c r="AB148" s="6"/>
      <c r="AC148" s="6"/>
    </row>
    <row r="149" spans="1:29" s="4" customFormat="1" x14ac:dyDescent="0.25">
      <c r="A149" s="5">
        <v>144</v>
      </c>
      <c r="D149" t="s">
        <v>564</v>
      </c>
      <c r="F149" t="s">
        <v>560</v>
      </c>
      <c r="G149" s="24"/>
      <c r="H149" s="8"/>
      <c r="I149" s="8"/>
      <c r="J149" s="7">
        <f t="shared" si="3"/>
        <v>0</v>
      </c>
      <c r="K149" s="5" t="s">
        <v>8</v>
      </c>
      <c r="L149" s="9">
        <v>0.02</v>
      </c>
      <c r="O149">
        <v>0</v>
      </c>
      <c r="P149" t="s">
        <v>336</v>
      </c>
      <c r="Q149" t="s">
        <v>336</v>
      </c>
      <c r="X149" s="10">
        <v>45861</v>
      </c>
      <c r="Y149" s="6"/>
      <c r="Z149" s="5">
        <v>0</v>
      </c>
      <c r="AA149" s="6"/>
      <c r="AB149" s="6"/>
      <c r="AC149" s="6"/>
    </row>
    <row r="150" spans="1:29" s="4" customFormat="1" x14ac:dyDescent="0.25">
      <c r="A150" s="5">
        <v>145</v>
      </c>
      <c r="D150" t="s">
        <v>565</v>
      </c>
      <c r="F150" t="s">
        <v>560</v>
      </c>
      <c r="G150" s="24"/>
      <c r="H150" s="8"/>
      <c r="I150" s="8"/>
      <c r="J150" s="7">
        <f t="shared" si="3"/>
        <v>0</v>
      </c>
      <c r="K150" s="5" t="s">
        <v>8</v>
      </c>
      <c r="L150" s="9">
        <v>0.02</v>
      </c>
      <c r="O150">
        <v>0</v>
      </c>
      <c r="P150" t="s">
        <v>336</v>
      </c>
      <c r="Q150" t="s">
        <v>336</v>
      </c>
      <c r="X150" s="10">
        <v>45861</v>
      </c>
      <c r="Y150" s="6"/>
      <c r="Z150" s="5">
        <v>0</v>
      </c>
      <c r="AA150" s="6"/>
      <c r="AB150" s="6"/>
      <c r="AC150" s="6"/>
    </row>
    <row r="151" spans="1:29" s="4" customFormat="1" x14ac:dyDescent="0.25">
      <c r="A151" s="5">
        <v>146</v>
      </c>
      <c r="D151" t="s">
        <v>566</v>
      </c>
      <c r="F151" t="s">
        <v>560</v>
      </c>
      <c r="G151" s="24"/>
      <c r="H151" s="8"/>
      <c r="I151" s="8"/>
      <c r="J151" s="7">
        <f t="shared" si="3"/>
        <v>0</v>
      </c>
      <c r="K151" s="5" t="s">
        <v>8</v>
      </c>
      <c r="L151" s="9">
        <v>0.02</v>
      </c>
      <c r="O151">
        <v>0</v>
      </c>
      <c r="P151" t="s">
        <v>336</v>
      </c>
      <c r="Q151" t="s">
        <v>336</v>
      </c>
      <c r="X151" s="10">
        <v>45861</v>
      </c>
      <c r="Y151" s="6"/>
      <c r="Z151" s="5">
        <v>0</v>
      </c>
      <c r="AA151" s="6"/>
      <c r="AB151" s="6"/>
      <c r="AC151" s="6"/>
    </row>
    <row r="152" spans="1:29" s="4" customFormat="1" x14ac:dyDescent="0.25">
      <c r="A152" s="5">
        <v>147</v>
      </c>
      <c r="D152" t="s">
        <v>567</v>
      </c>
      <c r="F152" t="s">
        <v>560</v>
      </c>
      <c r="G152" s="24"/>
      <c r="H152" s="8"/>
      <c r="I152" s="8"/>
      <c r="J152" s="7">
        <f t="shared" si="3"/>
        <v>0</v>
      </c>
      <c r="K152" s="5" t="s">
        <v>8</v>
      </c>
      <c r="L152" s="9">
        <v>0.02</v>
      </c>
      <c r="O152">
        <v>0</v>
      </c>
      <c r="P152" t="s">
        <v>336</v>
      </c>
      <c r="Q152" t="s">
        <v>336</v>
      </c>
      <c r="X152" s="10">
        <v>45861</v>
      </c>
      <c r="Y152" s="6"/>
      <c r="Z152" s="5">
        <v>0</v>
      </c>
      <c r="AA152" s="6"/>
      <c r="AB152" s="6"/>
      <c r="AC152" s="6"/>
    </row>
    <row r="153" spans="1:29" s="4" customFormat="1" x14ac:dyDescent="0.25">
      <c r="A153" s="5">
        <v>148</v>
      </c>
      <c r="D153" t="s">
        <v>568</v>
      </c>
      <c r="F153" t="s">
        <v>560</v>
      </c>
      <c r="G153" s="24"/>
      <c r="H153" s="8"/>
      <c r="I153" s="8"/>
      <c r="J153" s="7">
        <f t="shared" si="3"/>
        <v>0</v>
      </c>
      <c r="K153" s="5" t="s">
        <v>8</v>
      </c>
      <c r="L153" s="9">
        <v>0.02</v>
      </c>
      <c r="O153">
        <v>0</v>
      </c>
      <c r="P153" t="s">
        <v>336</v>
      </c>
      <c r="Q153" t="s">
        <v>336</v>
      </c>
      <c r="X153" s="10">
        <v>45861</v>
      </c>
      <c r="Y153" s="6"/>
      <c r="Z153" s="5">
        <v>0</v>
      </c>
      <c r="AA153" s="6"/>
      <c r="AB153" s="6"/>
      <c r="AC153" s="6"/>
    </row>
    <row r="154" spans="1:29" s="4" customFormat="1" x14ac:dyDescent="0.25">
      <c r="A154" s="5">
        <v>149</v>
      </c>
      <c r="D154" t="s">
        <v>569</v>
      </c>
      <c r="F154" t="s">
        <v>560</v>
      </c>
      <c r="G154" s="24"/>
      <c r="H154" s="8"/>
      <c r="I154" s="8"/>
      <c r="J154" s="7">
        <f t="shared" si="3"/>
        <v>0</v>
      </c>
      <c r="K154" s="5" t="s">
        <v>8</v>
      </c>
      <c r="L154" s="9">
        <v>0.02</v>
      </c>
      <c r="O154">
        <v>0</v>
      </c>
      <c r="P154" t="s">
        <v>336</v>
      </c>
      <c r="Q154" t="s">
        <v>336</v>
      </c>
      <c r="X154" s="10">
        <v>45861</v>
      </c>
      <c r="Y154" s="6"/>
      <c r="Z154" s="5">
        <v>0</v>
      </c>
      <c r="AA154" s="6"/>
      <c r="AB154" s="6"/>
      <c r="AC154" s="6"/>
    </row>
    <row r="155" spans="1:29" s="4" customFormat="1" x14ac:dyDescent="0.25">
      <c r="A155" s="5">
        <v>150</v>
      </c>
      <c r="D155" t="s">
        <v>570</v>
      </c>
      <c r="F155" t="s">
        <v>560</v>
      </c>
      <c r="G155" s="24"/>
      <c r="H155" s="8"/>
      <c r="I155" s="8"/>
      <c r="J155" s="7">
        <f t="shared" si="3"/>
        <v>0</v>
      </c>
      <c r="K155" s="5" t="s">
        <v>8</v>
      </c>
      <c r="L155" s="9">
        <v>0.02</v>
      </c>
      <c r="O155">
        <v>0</v>
      </c>
      <c r="P155" t="s">
        <v>336</v>
      </c>
      <c r="Q155" t="s">
        <v>336</v>
      </c>
      <c r="X155" s="10">
        <v>45861</v>
      </c>
      <c r="Y155" s="6"/>
      <c r="Z155" s="5">
        <v>0</v>
      </c>
      <c r="AA155" s="6"/>
      <c r="AB155" s="6"/>
      <c r="AC155" s="6"/>
    </row>
    <row r="156" spans="1:29" s="4" customFormat="1" x14ac:dyDescent="0.25">
      <c r="A156" s="5">
        <v>151</v>
      </c>
      <c r="D156" t="s">
        <v>571</v>
      </c>
      <c r="F156" t="s">
        <v>560</v>
      </c>
      <c r="G156" s="24"/>
      <c r="H156" s="8"/>
      <c r="I156" s="8"/>
      <c r="J156" s="7">
        <f t="shared" si="3"/>
        <v>0</v>
      </c>
      <c r="K156" s="5" t="s">
        <v>8</v>
      </c>
      <c r="L156" s="9">
        <v>0.02</v>
      </c>
      <c r="O156">
        <v>0</v>
      </c>
      <c r="P156" t="s">
        <v>336</v>
      </c>
      <c r="Q156" t="s">
        <v>336</v>
      </c>
      <c r="X156" s="10">
        <v>45861</v>
      </c>
      <c r="Y156" s="6"/>
      <c r="Z156" s="5">
        <v>0</v>
      </c>
      <c r="AA156" s="6"/>
      <c r="AB156" s="6"/>
      <c r="AC156" s="6"/>
    </row>
    <row r="157" spans="1:29" s="4" customFormat="1" x14ac:dyDescent="0.25">
      <c r="A157" s="5">
        <v>152</v>
      </c>
      <c r="D157" t="s">
        <v>557</v>
      </c>
      <c r="F157" t="s">
        <v>558</v>
      </c>
      <c r="G157" s="17">
        <v>10</v>
      </c>
      <c r="H157" s="8"/>
      <c r="I157" s="6"/>
      <c r="J157" s="7">
        <f t="shared" si="3"/>
        <v>10</v>
      </c>
      <c r="K157" s="5" t="s">
        <v>8</v>
      </c>
      <c r="L157" s="9">
        <v>0.01</v>
      </c>
      <c r="O157">
        <v>0</v>
      </c>
      <c r="P157" t="s">
        <v>336</v>
      </c>
      <c r="Q157" t="s">
        <v>336</v>
      </c>
      <c r="X157" s="10">
        <v>45861</v>
      </c>
      <c r="Y157" s="6"/>
      <c r="Z157" s="5">
        <v>0</v>
      </c>
      <c r="AA157" s="6"/>
      <c r="AB157" s="6"/>
      <c r="AC157" s="6"/>
    </row>
    <row r="158" spans="1:29" s="4" customFormat="1" x14ac:dyDescent="0.25">
      <c r="A158" s="5">
        <v>153</v>
      </c>
      <c r="D158" t="s">
        <v>627</v>
      </c>
      <c r="F158" s="26" t="s">
        <v>611</v>
      </c>
      <c r="G158" s="17">
        <v>2.5</v>
      </c>
      <c r="H158" s="8">
        <v>0.1</v>
      </c>
      <c r="I158" s="6"/>
      <c r="J158" s="7">
        <f t="shared" ref="J158" si="4">G158*(1-I158)*(1+H158)</f>
        <v>2.75</v>
      </c>
      <c r="K158" s="5" t="s">
        <v>55</v>
      </c>
      <c r="L158" s="9">
        <v>0.1</v>
      </c>
      <c r="M158" s="4">
        <v>5000</v>
      </c>
      <c r="N158" s="4">
        <v>8</v>
      </c>
      <c r="O158">
        <v>5</v>
      </c>
      <c r="P158" t="s">
        <v>401</v>
      </c>
      <c r="Q158" t="s">
        <v>336</v>
      </c>
      <c r="V158" t="s">
        <v>416</v>
      </c>
      <c r="W158" t="s">
        <v>416</v>
      </c>
      <c r="X158" s="10">
        <v>45861</v>
      </c>
      <c r="Y158" s="6"/>
      <c r="Z158" s="5">
        <v>0</v>
      </c>
      <c r="AA158" s="6"/>
      <c r="AB158" s="6"/>
      <c r="AC158" s="6"/>
    </row>
    <row r="159" spans="1:29" s="4" customFormat="1" x14ac:dyDescent="0.25">
      <c r="A159" s="5">
        <v>154</v>
      </c>
      <c r="D159" t="s">
        <v>414</v>
      </c>
      <c r="F159" t="s">
        <v>415</v>
      </c>
      <c r="G159" s="17">
        <v>18</v>
      </c>
      <c r="H159" s="8"/>
      <c r="I159" s="6"/>
      <c r="J159" s="7">
        <f t="shared" si="3"/>
        <v>18</v>
      </c>
      <c r="K159" s="5" t="s">
        <v>55</v>
      </c>
      <c r="L159" s="9">
        <v>0.1</v>
      </c>
      <c r="O159">
        <v>5</v>
      </c>
      <c r="P159" t="s">
        <v>401</v>
      </c>
      <c r="Q159" t="s">
        <v>336</v>
      </c>
      <c r="V159" t="s">
        <v>416</v>
      </c>
      <c r="W159" t="s">
        <v>416</v>
      </c>
      <c r="X159" s="10">
        <v>45861</v>
      </c>
      <c r="Y159" s="6"/>
      <c r="Z159" s="5">
        <v>0</v>
      </c>
      <c r="AA159" s="6"/>
      <c r="AB159" s="6"/>
      <c r="AC159" s="6"/>
    </row>
    <row r="160" spans="1:29" s="4" customFormat="1" x14ac:dyDescent="0.25">
      <c r="A160" s="5">
        <v>155</v>
      </c>
      <c r="D160" t="s">
        <v>412</v>
      </c>
      <c r="F160" t="s">
        <v>413</v>
      </c>
      <c r="G160" s="17">
        <v>5.2</v>
      </c>
      <c r="H160" s="8">
        <v>0.1</v>
      </c>
      <c r="I160" s="8"/>
      <c r="J160" s="7">
        <f t="shared" si="3"/>
        <v>5.7200000000000006</v>
      </c>
      <c r="K160" s="6" t="s">
        <v>55</v>
      </c>
      <c r="L160" s="9">
        <v>0.1</v>
      </c>
      <c r="M160" s="4">
        <v>5000</v>
      </c>
      <c r="N160" s="4">
        <v>8</v>
      </c>
      <c r="O160">
        <v>5</v>
      </c>
      <c r="P160" t="s">
        <v>401</v>
      </c>
      <c r="Q160" t="s">
        <v>336</v>
      </c>
      <c r="X160" s="10">
        <v>45861</v>
      </c>
      <c r="Y160" s="6"/>
      <c r="Z160" s="5">
        <v>0</v>
      </c>
      <c r="AA160" s="6"/>
      <c r="AB160" s="6"/>
      <c r="AC160" s="6"/>
    </row>
    <row r="161" spans="1:29" s="4" customFormat="1" x14ac:dyDescent="0.25">
      <c r="A161" s="5">
        <v>156</v>
      </c>
      <c r="D161" t="s">
        <v>545</v>
      </c>
      <c r="F161" t="s">
        <v>546</v>
      </c>
      <c r="G161" s="17">
        <v>0.89</v>
      </c>
      <c r="H161" s="8"/>
      <c r="I161" s="8">
        <v>0.25</v>
      </c>
      <c r="J161" s="7">
        <f t="shared" si="3"/>
        <v>0.66749999999999998</v>
      </c>
      <c r="K161" s="5" t="s">
        <v>8</v>
      </c>
      <c r="L161" s="9">
        <v>0.05</v>
      </c>
      <c r="P161" t="s">
        <v>475</v>
      </c>
      <c r="Q161" t="s">
        <v>336</v>
      </c>
      <c r="V161" t="s">
        <v>407</v>
      </c>
      <c r="W161" t="s">
        <v>407</v>
      </c>
      <c r="X161" s="10">
        <v>45861</v>
      </c>
      <c r="Y161" s="6"/>
      <c r="Z161" s="5">
        <v>0</v>
      </c>
      <c r="AA161" s="6"/>
      <c r="AB161" s="6"/>
      <c r="AC161" s="6"/>
    </row>
    <row r="162" spans="1:29" s="4" customFormat="1" x14ac:dyDescent="0.25">
      <c r="A162" s="5">
        <v>157</v>
      </c>
      <c r="D162" t="s">
        <v>547</v>
      </c>
      <c r="F162" t="s">
        <v>548</v>
      </c>
      <c r="G162" s="17">
        <v>1.38</v>
      </c>
      <c r="H162" s="8"/>
      <c r="I162" s="8">
        <v>0.25</v>
      </c>
      <c r="J162" s="7">
        <f t="shared" si="3"/>
        <v>1.0349999999999999</v>
      </c>
      <c r="K162" s="5" t="s">
        <v>8</v>
      </c>
      <c r="L162" s="9">
        <v>0.05</v>
      </c>
      <c r="P162" t="s">
        <v>475</v>
      </c>
      <c r="Q162" t="s">
        <v>336</v>
      </c>
      <c r="V162" t="s">
        <v>407</v>
      </c>
      <c r="W162" t="s">
        <v>407</v>
      </c>
      <c r="X162" s="10">
        <v>45861</v>
      </c>
      <c r="Y162" s="6"/>
      <c r="Z162" s="5">
        <v>0</v>
      </c>
      <c r="AA162" s="6"/>
      <c r="AB162" s="6"/>
      <c r="AC162" s="6"/>
    </row>
    <row r="163" spans="1:29" s="4" customFormat="1" x14ac:dyDescent="0.25">
      <c r="A163" s="5">
        <v>158</v>
      </c>
      <c r="D163" t="s">
        <v>533</v>
      </c>
      <c r="F163" t="s">
        <v>534</v>
      </c>
      <c r="G163" s="17">
        <v>15</v>
      </c>
      <c r="H163" s="8"/>
      <c r="I163" s="6"/>
      <c r="J163" s="7">
        <f t="shared" si="3"/>
        <v>15</v>
      </c>
      <c r="K163" s="5" t="s">
        <v>8</v>
      </c>
      <c r="L163" s="9">
        <v>0.05</v>
      </c>
      <c r="O163">
        <v>0</v>
      </c>
      <c r="P163" t="s">
        <v>475</v>
      </c>
      <c r="Q163" t="s">
        <v>336</v>
      </c>
      <c r="X163" s="10">
        <v>45861</v>
      </c>
      <c r="Y163" s="6"/>
      <c r="Z163" s="5">
        <v>0</v>
      </c>
      <c r="AA163" s="6"/>
      <c r="AB163" s="6"/>
      <c r="AC163" s="6"/>
    </row>
    <row r="164" spans="1:29" s="4" customFormat="1" x14ac:dyDescent="0.25">
      <c r="A164" s="5">
        <v>159</v>
      </c>
      <c r="D164" t="s">
        <v>387</v>
      </c>
      <c r="F164" t="s">
        <v>388</v>
      </c>
      <c r="G164" s="17">
        <v>41.63</v>
      </c>
      <c r="H164" s="8"/>
      <c r="I164" s="8">
        <v>0.2</v>
      </c>
      <c r="J164" s="7">
        <f t="shared" si="3"/>
        <v>33.304000000000002</v>
      </c>
      <c r="K164" s="5" t="s">
        <v>8</v>
      </c>
      <c r="L164" s="9">
        <v>0.01</v>
      </c>
      <c r="M164">
        <v>500</v>
      </c>
      <c r="O164">
        <v>0</v>
      </c>
      <c r="P164" t="s">
        <v>335</v>
      </c>
      <c r="Q164" t="s">
        <v>336</v>
      </c>
      <c r="V164" t="s">
        <v>337</v>
      </c>
      <c r="W164" t="s">
        <v>338</v>
      </c>
      <c r="X164" s="10">
        <v>45861</v>
      </c>
      <c r="Y164" s="6"/>
      <c r="Z164" s="5">
        <v>0</v>
      </c>
      <c r="AA164" s="6"/>
      <c r="AB164" s="6"/>
      <c r="AC164" s="6"/>
    </row>
    <row r="165" spans="1:29" s="4" customFormat="1" x14ac:dyDescent="0.25">
      <c r="A165" s="5">
        <v>160</v>
      </c>
      <c r="D165" t="s">
        <v>391</v>
      </c>
      <c r="F165" t="s">
        <v>392</v>
      </c>
      <c r="G165" s="17">
        <v>54.33</v>
      </c>
      <c r="H165" s="8"/>
      <c r="I165" s="8">
        <v>0.1</v>
      </c>
      <c r="J165" s="7">
        <f t="shared" si="3"/>
        <v>48.896999999999998</v>
      </c>
      <c r="K165" s="5" t="s">
        <v>8</v>
      </c>
      <c r="L165" s="9">
        <v>0.01</v>
      </c>
      <c r="M165">
        <v>500</v>
      </c>
      <c r="O165">
        <v>0</v>
      </c>
      <c r="P165" t="s">
        <v>335</v>
      </c>
      <c r="Q165" t="s">
        <v>336</v>
      </c>
      <c r="V165" t="s">
        <v>337</v>
      </c>
      <c r="W165" t="s">
        <v>338</v>
      </c>
      <c r="X165" s="10">
        <v>45861</v>
      </c>
      <c r="Y165" s="6"/>
      <c r="Z165" s="5">
        <v>0</v>
      </c>
      <c r="AA165" s="6"/>
      <c r="AB165" s="6"/>
      <c r="AC165" s="6"/>
    </row>
    <row r="166" spans="1:29" s="4" customFormat="1" x14ac:dyDescent="0.25">
      <c r="A166" s="5">
        <v>161</v>
      </c>
      <c r="D166" t="s">
        <v>397</v>
      </c>
      <c r="F166" t="s">
        <v>398</v>
      </c>
      <c r="G166" s="17">
        <v>13.06</v>
      </c>
      <c r="H166" s="8">
        <v>0.1</v>
      </c>
      <c r="I166" s="8"/>
      <c r="J166" s="7">
        <f t="shared" si="3"/>
        <v>14.366000000000001</v>
      </c>
      <c r="K166" s="5" t="s">
        <v>8</v>
      </c>
      <c r="L166" s="9">
        <v>0.01</v>
      </c>
      <c r="M166">
        <v>500</v>
      </c>
      <c r="N166">
        <v>131</v>
      </c>
      <c r="O166">
        <v>0</v>
      </c>
      <c r="P166" t="s">
        <v>335</v>
      </c>
      <c r="Q166" t="s">
        <v>336</v>
      </c>
      <c r="V166" t="s">
        <v>343</v>
      </c>
      <c r="W166" t="s">
        <v>343</v>
      </c>
      <c r="X166" s="10">
        <v>45861</v>
      </c>
      <c r="Y166" s="6"/>
      <c r="Z166" s="5">
        <v>0</v>
      </c>
      <c r="AA166" s="6"/>
      <c r="AB166" s="6"/>
      <c r="AC166" s="6"/>
    </row>
    <row r="167" spans="1:29" s="4" customFormat="1" x14ac:dyDescent="0.25">
      <c r="A167" s="5">
        <v>162</v>
      </c>
      <c r="D167" t="s">
        <v>395</v>
      </c>
      <c r="F167" t="s">
        <v>396</v>
      </c>
      <c r="G167" s="17">
        <v>21.23</v>
      </c>
      <c r="H167" s="8">
        <v>0.1</v>
      </c>
      <c r="I167" s="8"/>
      <c r="J167" s="7">
        <f t="shared" si="3"/>
        <v>23.353000000000002</v>
      </c>
      <c r="K167" s="5" t="s">
        <v>8</v>
      </c>
      <c r="L167" s="9">
        <v>0.01</v>
      </c>
      <c r="M167">
        <v>500</v>
      </c>
      <c r="N167">
        <v>178</v>
      </c>
      <c r="O167">
        <v>0</v>
      </c>
      <c r="P167" t="s">
        <v>335</v>
      </c>
      <c r="Q167" t="s">
        <v>336</v>
      </c>
      <c r="V167" t="s">
        <v>343</v>
      </c>
      <c r="W167" t="s">
        <v>343</v>
      </c>
      <c r="X167" s="10">
        <v>45861</v>
      </c>
      <c r="Y167" s="6"/>
      <c r="Z167" s="5">
        <v>0</v>
      </c>
      <c r="AA167" s="6"/>
      <c r="AB167" s="6"/>
      <c r="AC167" s="6"/>
    </row>
    <row r="168" spans="1:29" s="4" customFormat="1" x14ac:dyDescent="0.25">
      <c r="A168" s="5">
        <v>163</v>
      </c>
      <c r="D168" t="s">
        <v>393</v>
      </c>
      <c r="F168" t="s">
        <v>394</v>
      </c>
      <c r="G168" s="17">
        <v>15.29</v>
      </c>
      <c r="H168" s="8">
        <v>0.1</v>
      </c>
      <c r="I168" s="8"/>
      <c r="J168" s="7">
        <f t="shared" si="3"/>
        <v>16.818999999999999</v>
      </c>
      <c r="K168" s="5" t="s">
        <v>8</v>
      </c>
      <c r="L168" s="9">
        <v>0.01</v>
      </c>
      <c r="M168">
        <v>500</v>
      </c>
      <c r="N168">
        <v>93</v>
      </c>
      <c r="O168">
        <v>0</v>
      </c>
      <c r="P168" t="s">
        <v>335</v>
      </c>
      <c r="Q168" t="s">
        <v>336</v>
      </c>
      <c r="V168" t="s">
        <v>343</v>
      </c>
      <c r="W168" t="s">
        <v>343</v>
      </c>
      <c r="X168" s="10">
        <v>45861</v>
      </c>
      <c r="Y168" s="6"/>
      <c r="Z168" s="5">
        <v>0</v>
      </c>
      <c r="AA168" s="6"/>
      <c r="AB168" s="6"/>
      <c r="AC168" s="6"/>
    </row>
    <row r="169" spans="1:29" s="4" customFormat="1" x14ac:dyDescent="0.25">
      <c r="A169" s="5">
        <v>164</v>
      </c>
      <c r="D169" t="s">
        <v>389</v>
      </c>
      <c r="F169" t="s">
        <v>390</v>
      </c>
      <c r="G169" s="17">
        <v>51.26</v>
      </c>
      <c r="H169" s="8"/>
      <c r="I169" s="8">
        <v>0.2</v>
      </c>
      <c r="J169" s="7">
        <f t="shared" si="3"/>
        <v>41.008000000000003</v>
      </c>
      <c r="K169" s="5" t="s">
        <v>8</v>
      </c>
      <c r="L169" s="9">
        <v>0.01</v>
      </c>
      <c r="M169">
        <v>500</v>
      </c>
      <c r="O169">
        <v>0</v>
      </c>
      <c r="P169" t="s">
        <v>335</v>
      </c>
      <c r="Q169" t="s">
        <v>336</v>
      </c>
      <c r="V169" t="s">
        <v>337</v>
      </c>
      <c r="W169" t="s">
        <v>338</v>
      </c>
      <c r="X169" s="10">
        <v>45861</v>
      </c>
      <c r="Y169" s="6"/>
      <c r="Z169" s="5">
        <v>0</v>
      </c>
      <c r="AA169" s="6"/>
      <c r="AB169" s="6"/>
      <c r="AC169" s="6"/>
    </row>
    <row r="170" spans="1:29" s="4" customFormat="1" x14ac:dyDescent="0.25">
      <c r="A170" s="5">
        <v>165</v>
      </c>
      <c r="D170" t="s">
        <v>458</v>
      </c>
      <c r="F170" t="s">
        <v>459</v>
      </c>
      <c r="G170" s="17">
        <v>0.09</v>
      </c>
      <c r="H170" s="8"/>
      <c r="I170" s="8"/>
      <c r="J170" s="7">
        <f t="shared" si="3"/>
        <v>0.09</v>
      </c>
      <c r="K170" s="5" t="s">
        <v>8</v>
      </c>
      <c r="L170" s="9">
        <v>0.04</v>
      </c>
      <c r="O170">
        <v>0</v>
      </c>
      <c r="P170" t="s">
        <v>450</v>
      </c>
      <c r="Q170" t="s">
        <v>336</v>
      </c>
      <c r="V170" t="s">
        <v>343</v>
      </c>
      <c r="W170" t="s">
        <v>343</v>
      </c>
      <c r="X170" s="10">
        <v>45861</v>
      </c>
      <c r="Y170" s="6"/>
      <c r="Z170" s="5">
        <v>0</v>
      </c>
      <c r="AA170" s="6"/>
      <c r="AB170" s="6"/>
      <c r="AC170" s="6"/>
    </row>
    <row r="171" spans="1:29" s="4" customFormat="1" x14ac:dyDescent="0.25">
      <c r="A171" s="5">
        <v>166</v>
      </c>
      <c r="B171"/>
      <c r="C171"/>
      <c r="D171" t="s">
        <v>484</v>
      </c>
      <c r="E171"/>
      <c r="F171" t="s">
        <v>485</v>
      </c>
      <c r="G171" s="17">
        <v>15.72</v>
      </c>
      <c r="H171" s="16">
        <v>0.1</v>
      </c>
      <c r="I171" s="16">
        <v>0.25</v>
      </c>
      <c r="J171" s="15">
        <f t="shared" si="3"/>
        <v>12.969000000000001</v>
      </c>
      <c r="K171" s="6" t="s">
        <v>8</v>
      </c>
      <c r="L171" s="16">
        <v>0.02</v>
      </c>
      <c r="M171">
        <v>600</v>
      </c>
      <c r="N171"/>
      <c r="O171"/>
      <c r="P171" t="s">
        <v>336</v>
      </c>
      <c r="Q171" t="s">
        <v>336</v>
      </c>
      <c r="R171"/>
      <c r="S171"/>
      <c r="T171"/>
      <c r="U171"/>
      <c r="V171" t="s">
        <v>407</v>
      </c>
      <c r="W171" t="s">
        <v>407</v>
      </c>
      <c r="X171" s="10">
        <v>45861</v>
      </c>
      <c r="Y171" s="6"/>
      <c r="Z171" s="5">
        <v>0</v>
      </c>
      <c r="AA171" s="6"/>
      <c r="AB171" s="6"/>
      <c r="AC171" s="6"/>
    </row>
    <row r="172" spans="1:29" s="4" customFormat="1" x14ac:dyDescent="0.25">
      <c r="A172" s="5">
        <v>167</v>
      </c>
      <c r="B172"/>
      <c r="C172"/>
      <c r="D172" t="s">
        <v>486</v>
      </c>
      <c r="E172"/>
      <c r="F172" t="s">
        <v>487</v>
      </c>
      <c r="G172" s="17">
        <v>6.47</v>
      </c>
      <c r="H172" s="16">
        <v>0.1</v>
      </c>
      <c r="I172" s="16">
        <v>0.25</v>
      </c>
      <c r="J172" s="15">
        <f t="shared" si="3"/>
        <v>5.3377500000000007</v>
      </c>
      <c r="K172" s="6" t="s">
        <v>8</v>
      </c>
      <c r="L172" s="16">
        <v>0.02</v>
      </c>
      <c r="M172">
        <v>450</v>
      </c>
      <c r="N172"/>
      <c r="O172"/>
      <c r="P172" t="s">
        <v>336</v>
      </c>
      <c r="Q172" t="s">
        <v>336</v>
      </c>
      <c r="R172"/>
      <c r="S172"/>
      <c r="T172"/>
      <c r="U172"/>
      <c r="V172" t="s">
        <v>407</v>
      </c>
      <c r="W172" t="s">
        <v>407</v>
      </c>
      <c r="X172" s="10">
        <v>45861</v>
      </c>
      <c r="Y172" s="6"/>
      <c r="Z172" s="5">
        <v>0</v>
      </c>
      <c r="AA172" s="6"/>
      <c r="AB172" s="6"/>
      <c r="AC172" s="6"/>
    </row>
    <row r="173" spans="1:29" s="4" customFormat="1" x14ac:dyDescent="0.25">
      <c r="A173" s="5">
        <v>168</v>
      </c>
      <c r="D173" t="s">
        <v>25</v>
      </c>
      <c r="F173" t="s">
        <v>26</v>
      </c>
      <c r="G173" s="17">
        <v>40</v>
      </c>
      <c r="H173" s="8"/>
      <c r="I173" s="6"/>
      <c r="J173" s="7">
        <f t="shared" si="3"/>
        <v>40</v>
      </c>
      <c r="K173" s="5" t="s">
        <v>27</v>
      </c>
      <c r="L173" s="9">
        <v>0.01</v>
      </c>
      <c r="O173">
        <v>0</v>
      </c>
      <c r="P173" t="s">
        <v>28</v>
      </c>
      <c r="Q173" t="s">
        <v>29</v>
      </c>
      <c r="X173" s="10">
        <v>45861</v>
      </c>
      <c r="Y173" s="6"/>
      <c r="Z173" s="21">
        <v>0</v>
      </c>
      <c r="AA173" s="6"/>
      <c r="AB173" s="6"/>
      <c r="AC173" s="6"/>
    </row>
    <row r="174" spans="1:29" s="4" customFormat="1" x14ac:dyDescent="0.25">
      <c r="A174" s="5">
        <v>169</v>
      </c>
      <c r="D174" t="s">
        <v>30</v>
      </c>
      <c r="F174" t="s">
        <v>31</v>
      </c>
      <c r="G174" s="17">
        <v>58</v>
      </c>
      <c r="H174" s="8"/>
      <c r="I174" s="6"/>
      <c r="J174" s="7">
        <f t="shared" si="3"/>
        <v>58</v>
      </c>
      <c r="K174" s="5" t="s">
        <v>27</v>
      </c>
      <c r="L174" s="9">
        <v>0.01</v>
      </c>
      <c r="O174">
        <v>0</v>
      </c>
      <c r="P174" t="s">
        <v>32</v>
      </c>
      <c r="Q174" t="s">
        <v>29</v>
      </c>
      <c r="X174" s="10">
        <v>45861</v>
      </c>
      <c r="Y174" s="6"/>
      <c r="Z174" s="5">
        <v>0</v>
      </c>
      <c r="AA174" s="6"/>
      <c r="AB174" s="6"/>
      <c r="AC174" s="6"/>
    </row>
    <row r="175" spans="1:29" s="4" customFormat="1" x14ac:dyDescent="0.25">
      <c r="A175" s="5">
        <v>170</v>
      </c>
      <c r="D175" t="s">
        <v>57</v>
      </c>
      <c r="F175" t="s">
        <v>58</v>
      </c>
      <c r="G175" s="17">
        <v>0</v>
      </c>
      <c r="H175" s="8"/>
      <c r="I175" s="6"/>
      <c r="J175" s="7">
        <f t="shared" si="3"/>
        <v>0</v>
      </c>
      <c r="K175" s="5" t="s">
        <v>27</v>
      </c>
      <c r="L175" s="9">
        <v>0.01</v>
      </c>
      <c r="O175">
        <v>0</v>
      </c>
      <c r="P175" t="s">
        <v>32</v>
      </c>
      <c r="Q175" t="s">
        <v>29</v>
      </c>
      <c r="X175" s="10">
        <v>45861</v>
      </c>
      <c r="Y175" s="6"/>
      <c r="Z175" s="5">
        <v>0</v>
      </c>
      <c r="AA175" s="6"/>
      <c r="AB175" s="6"/>
      <c r="AC175" s="6"/>
    </row>
    <row r="176" spans="1:29" s="4" customFormat="1" x14ac:dyDescent="0.25">
      <c r="A176" s="5">
        <v>171</v>
      </c>
      <c r="D176" t="s">
        <v>59</v>
      </c>
      <c r="F176" t="s">
        <v>58</v>
      </c>
      <c r="G176" s="17">
        <v>0</v>
      </c>
      <c r="H176" s="8"/>
      <c r="I176" s="6"/>
      <c r="J176" s="7">
        <f t="shared" si="3"/>
        <v>0</v>
      </c>
      <c r="K176" s="5" t="s">
        <v>27</v>
      </c>
      <c r="L176" s="9">
        <v>0.01</v>
      </c>
      <c r="O176">
        <v>0</v>
      </c>
      <c r="P176" t="s">
        <v>32</v>
      </c>
      <c r="Q176" t="s">
        <v>29</v>
      </c>
      <c r="X176" s="10">
        <v>45861</v>
      </c>
      <c r="Y176" s="6"/>
      <c r="Z176" s="5">
        <v>0</v>
      </c>
      <c r="AA176" s="6"/>
      <c r="AB176" s="6"/>
      <c r="AC176" s="6"/>
    </row>
    <row r="177" spans="1:29" s="4" customFormat="1" x14ac:dyDescent="0.25">
      <c r="A177" s="5">
        <v>172</v>
      </c>
      <c r="D177" t="s">
        <v>53</v>
      </c>
      <c r="F177" t="s">
        <v>54</v>
      </c>
      <c r="G177" s="17">
        <v>0</v>
      </c>
      <c r="H177" s="8"/>
      <c r="I177" s="6"/>
      <c r="J177" s="7">
        <f t="shared" si="3"/>
        <v>0</v>
      </c>
      <c r="K177" s="5" t="s">
        <v>55</v>
      </c>
      <c r="L177" s="9">
        <v>0.01</v>
      </c>
      <c r="O177">
        <v>0</v>
      </c>
      <c r="P177" t="s">
        <v>32</v>
      </c>
      <c r="Q177" t="s">
        <v>29</v>
      </c>
      <c r="X177" s="10">
        <v>45861</v>
      </c>
      <c r="Y177" s="6"/>
      <c r="Z177" s="5">
        <v>0</v>
      </c>
      <c r="AA177" s="6"/>
      <c r="AB177" s="6"/>
      <c r="AC177" s="6"/>
    </row>
    <row r="178" spans="1:29" s="4" customFormat="1" x14ac:dyDescent="0.25">
      <c r="A178" s="5">
        <v>173</v>
      </c>
      <c r="D178" t="s">
        <v>56</v>
      </c>
      <c r="F178" t="s">
        <v>54</v>
      </c>
      <c r="G178" s="17">
        <v>0</v>
      </c>
      <c r="H178" s="8"/>
      <c r="I178" s="6"/>
      <c r="J178" s="7">
        <f t="shared" si="3"/>
        <v>0</v>
      </c>
      <c r="K178" s="5" t="s">
        <v>55</v>
      </c>
      <c r="L178" s="9">
        <v>0.01</v>
      </c>
      <c r="O178">
        <v>0</v>
      </c>
      <c r="P178" t="s">
        <v>32</v>
      </c>
      <c r="Q178" t="s">
        <v>29</v>
      </c>
      <c r="X178" s="10">
        <v>45861</v>
      </c>
      <c r="Y178" s="6"/>
      <c r="Z178" s="5">
        <v>0</v>
      </c>
      <c r="AA178" s="6"/>
      <c r="AB178" s="6"/>
      <c r="AC178" s="6"/>
    </row>
    <row r="179" spans="1:29" s="4" customFormat="1" x14ac:dyDescent="0.25">
      <c r="A179" s="5">
        <v>174</v>
      </c>
      <c r="D179" t="s">
        <v>33</v>
      </c>
      <c r="F179" t="s">
        <v>34</v>
      </c>
      <c r="G179" s="17">
        <v>45</v>
      </c>
      <c r="H179" s="8"/>
      <c r="I179" s="6"/>
      <c r="J179" s="7">
        <f t="shared" si="3"/>
        <v>45</v>
      </c>
      <c r="K179" s="5" t="s">
        <v>27</v>
      </c>
      <c r="L179" s="9">
        <v>0.01</v>
      </c>
      <c r="O179">
        <v>0</v>
      </c>
      <c r="P179" t="s">
        <v>32</v>
      </c>
      <c r="Q179" t="s">
        <v>29</v>
      </c>
      <c r="X179" s="10">
        <v>45861</v>
      </c>
      <c r="Y179" s="6"/>
      <c r="Z179" s="5">
        <v>0</v>
      </c>
      <c r="AA179" s="6"/>
      <c r="AB179" s="6"/>
      <c r="AC179" s="6"/>
    </row>
    <row r="180" spans="1:29" s="4" customFormat="1" x14ac:dyDescent="0.25">
      <c r="A180" s="5">
        <v>175</v>
      </c>
      <c r="D180" t="s">
        <v>35</v>
      </c>
      <c r="F180" t="s">
        <v>36</v>
      </c>
      <c r="G180" s="17">
        <v>63</v>
      </c>
      <c r="H180" s="8"/>
      <c r="I180" s="6"/>
      <c r="J180" s="7">
        <f t="shared" si="3"/>
        <v>63</v>
      </c>
      <c r="K180" s="5" t="s">
        <v>27</v>
      </c>
      <c r="L180" s="9">
        <v>0.01</v>
      </c>
      <c r="O180">
        <v>0</v>
      </c>
      <c r="P180" t="s">
        <v>32</v>
      </c>
      <c r="Q180" t="s">
        <v>29</v>
      </c>
      <c r="X180" s="10">
        <v>45861</v>
      </c>
      <c r="Y180" s="6"/>
      <c r="Z180" s="5">
        <v>0</v>
      </c>
      <c r="AA180" s="6"/>
      <c r="AB180" s="6"/>
      <c r="AC180" s="6"/>
    </row>
    <row r="181" spans="1:29" s="4" customFormat="1" x14ac:dyDescent="0.25">
      <c r="A181" s="5">
        <v>176</v>
      </c>
      <c r="C181" s="4" t="s">
        <v>602</v>
      </c>
      <c r="D181" t="s">
        <v>607</v>
      </c>
      <c r="E181" s="4" t="s">
        <v>603</v>
      </c>
      <c r="F181" t="s">
        <v>604</v>
      </c>
      <c r="G181" s="17">
        <v>10.8</v>
      </c>
      <c r="H181" s="8">
        <v>0.1</v>
      </c>
      <c r="I181" s="16"/>
      <c r="J181" s="7">
        <f>G181*(1-I181)*(1+H181)</f>
        <v>11.880000000000003</v>
      </c>
      <c r="K181" s="5" t="s">
        <v>27</v>
      </c>
      <c r="L181" s="9">
        <v>0.2</v>
      </c>
      <c r="M181">
        <v>2800</v>
      </c>
      <c r="N181">
        <v>2070</v>
      </c>
      <c r="O181" s="19">
        <v>10</v>
      </c>
      <c r="P181" t="s">
        <v>212</v>
      </c>
      <c r="Q181" t="s">
        <v>64</v>
      </c>
      <c r="R181" t="s">
        <v>103</v>
      </c>
      <c r="S181" t="s">
        <v>165</v>
      </c>
      <c r="T181" t="s">
        <v>166</v>
      </c>
      <c r="V181" t="s">
        <v>68</v>
      </c>
      <c r="W181" t="s">
        <v>108</v>
      </c>
      <c r="X181" s="10">
        <v>45877</v>
      </c>
      <c r="Y181" s="6"/>
      <c r="Z181" s="5">
        <v>0</v>
      </c>
      <c r="AA181" s="6"/>
      <c r="AB181" s="6"/>
      <c r="AC181" s="6"/>
    </row>
    <row r="182" spans="1:29" s="4" customFormat="1" x14ac:dyDescent="0.25">
      <c r="A182" s="5">
        <v>177</v>
      </c>
      <c r="C182" t="s">
        <v>209</v>
      </c>
      <c r="D182" t="s">
        <v>213</v>
      </c>
      <c r="F182" t="s">
        <v>214</v>
      </c>
      <c r="G182" s="17">
        <v>14.67</v>
      </c>
      <c r="H182" s="8"/>
      <c r="I182" s="8">
        <v>0.25</v>
      </c>
      <c r="J182" s="7">
        <f t="shared" ref="J182" si="5">G182*(1-I182)*(1+H182)</f>
        <v>11.0025</v>
      </c>
      <c r="K182" s="5" t="s">
        <v>27</v>
      </c>
      <c r="L182" s="9">
        <v>0.2</v>
      </c>
      <c r="M182">
        <v>2800</v>
      </c>
      <c r="N182">
        <v>2070</v>
      </c>
      <c r="O182">
        <v>16</v>
      </c>
      <c r="P182" t="s">
        <v>212</v>
      </c>
      <c r="Q182" t="s">
        <v>64</v>
      </c>
      <c r="R182" t="s">
        <v>103</v>
      </c>
      <c r="S182" t="s">
        <v>165</v>
      </c>
      <c r="T182" t="s">
        <v>166</v>
      </c>
      <c r="V182" t="s">
        <v>68</v>
      </c>
      <c r="W182" t="s">
        <v>108</v>
      </c>
      <c r="X182" s="10">
        <v>45861</v>
      </c>
      <c r="Y182" s="6"/>
      <c r="Z182" s="6">
        <v>0</v>
      </c>
      <c r="AA182" s="6"/>
      <c r="AB182" s="6"/>
      <c r="AC182" s="6"/>
    </row>
    <row r="183" spans="1:29" s="4" customFormat="1" x14ac:dyDescent="0.25">
      <c r="A183" s="5">
        <v>178</v>
      </c>
      <c r="C183" t="s">
        <v>209</v>
      </c>
      <c r="D183" t="s">
        <v>210</v>
      </c>
      <c r="E183" s="4" t="s">
        <v>601</v>
      </c>
      <c r="F183" t="s">
        <v>211</v>
      </c>
      <c r="G183" s="17">
        <v>15.36</v>
      </c>
      <c r="H183" s="8">
        <v>0.1</v>
      </c>
      <c r="I183" s="8">
        <v>0.33</v>
      </c>
      <c r="J183" s="7">
        <f t="shared" si="3"/>
        <v>11.320319999999999</v>
      </c>
      <c r="K183" s="5" t="s">
        <v>27</v>
      </c>
      <c r="L183" s="9">
        <v>0.15</v>
      </c>
      <c r="M183">
        <v>2800</v>
      </c>
      <c r="N183">
        <v>2070</v>
      </c>
      <c r="O183">
        <v>19</v>
      </c>
      <c r="P183" t="s">
        <v>212</v>
      </c>
      <c r="Q183" t="s">
        <v>64</v>
      </c>
      <c r="R183" t="s">
        <v>103</v>
      </c>
      <c r="S183" t="s">
        <v>165</v>
      </c>
      <c r="T183" t="s">
        <v>166</v>
      </c>
      <c r="V183" t="s">
        <v>108</v>
      </c>
      <c r="W183" t="s">
        <v>108</v>
      </c>
      <c r="X183" s="10">
        <v>45861</v>
      </c>
      <c r="Y183" s="6"/>
      <c r="Z183" s="6">
        <v>0</v>
      </c>
      <c r="AA183" s="6"/>
      <c r="AB183" s="6"/>
      <c r="AC183" s="6"/>
    </row>
    <row r="184" spans="1:29" s="4" customFormat="1" x14ac:dyDescent="0.25">
      <c r="A184" s="5">
        <v>179</v>
      </c>
      <c r="C184" s="4" t="s">
        <v>602</v>
      </c>
      <c r="D184" t="s">
        <v>608</v>
      </c>
      <c r="E184" s="4" t="s">
        <v>605</v>
      </c>
      <c r="F184" t="s">
        <v>606</v>
      </c>
      <c r="G184" s="17">
        <v>21.1</v>
      </c>
      <c r="H184" s="8">
        <v>0.1</v>
      </c>
      <c r="I184" s="16"/>
      <c r="J184" s="7">
        <f>G184*(1-I184)*(1+H184)</f>
        <v>23.210000000000004</v>
      </c>
      <c r="K184" s="5" t="s">
        <v>27</v>
      </c>
      <c r="L184" s="9">
        <v>0.25</v>
      </c>
      <c r="M184">
        <v>2800</v>
      </c>
      <c r="N184">
        <v>2070</v>
      </c>
      <c r="O184" s="19">
        <v>30</v>
      </c>
      <c r="P184" t="s">
        <v>212</v>
      </c>
      <c r="Q184" t="s">
        <v>64</v>
      </c>
      <c r="R184" t="s">
        <v>103</v>
      </c>
      <c r="S184" t="s">
        <v>165</v>
      </c>
      <c r="T184" t="s">
        <v>166</v>
      </c>
      <c r="V184" t="s">
        <v>68</v>
      </c>
      <c r="W184" t="s">
        <v>108</v>
      </c>
      <c r="X184" s="10">
        <v>45877</v>
      </c>
      <c r="Y184" s="6"/>
      <c r="Z184" s="5">
        <v>0</v>
      </c>
      <c r="AA184" s="6"/>
      <c r="AB184" s="6"/>
      <c r="AC184" s="6"/>
    </row>
    <row r="185" spans="1:29" s="4" customFormat="1" x14ac:dyDescent="0.25">
      <c r="A185" s="5">
        <v>180</v>
      </c>
      <c r="B185"/>
      <c r="C185"/>
      <c r="D185" t="s">
        <v>480</v>
      </c>
      <c r="E185"/>
      <c r="F185" t="s">
        <v>481</v>
      </c>
      <c r="G185" s="17">
        <v>2.4</v>
      </c>
      <c r="H185" s="16">
        <v>0.1</v>
      </c>
      <c r="I185" s="16"/>
      <c r="J185" s="15">
        <f t="shared" si="3"/>
        <v>2.64</v>
      </c>
      <c r="K185" s="6" t="s">
        <v>8</v>
      </c>
      <c r="L185" s="16">
        <v>0.02</v>
      </c>
      <c r="M185" s="2"/>
      <c r="N185"/>
      <c r="O185">
        <v>0</v>
      </c>
      <c r="P185" t="s">
        <v>336</v>
      </c>
      <c r="Q185" t="s">
        <v>336</v>
      </c>
      <c r="R185" t="s">
        <v>427</v>
      </c>
      <c r="S185"/>
      <c r="T185"/>
      <c r="U185"/>
      <c r="V185"/>
      <c r="W185"/>
      <c r="X185" s="10">
        <v>45861</v>
      </c>
      <c r="Y185" s="6"/>
      <c r="Z185" s="5">
        <v>0</v>
      </c>
      <c r="AA185" s="6"/>
      <c r="AB185" s="6"/>
      <c r="AC185" s="6"/>
    </row>
    <row r="186" spans="1:29" s="4" customFormat="1" x14ac:dyDescent="0.25">
      <c r="A186" s="5">
        <v>181</v>
      </c>
      <c r="D186" t="s">
        <v>323</v>
      </c>
      <c r="F186" t="s">
        <v>324</v>
      </c>
      <c r="G186" s="17">
        <v>35</v>
      </c>
      <c r="H186" s="8"/>
      <c r="I186" s="6"/>
      <c r="J186" s="7">
        <f t="shared" si="3"/>
        <v>35</v>
      </c>
      <c r="K186" s="5" t="s">
        <v>27</v>
      </c>
      <c r="L186" s="9">
        <v>0.1</v>
      </c>
      <c r="O186">
        <v>2</v>
      </c>
      <c r="Q186" t="s">
        <v>325</v>
      </c>
      <c r="X186" s="10">
        <v>45861</v>
      </c>
      <c r="Y186" s="6"/>
      <c r="Z186" s="5">
        <v>1</v>
      </c>
      <c r="AA186" s="6"/>
      <c r="AB186" s="6"/>
      <c r="AC186" s="6"/>
    </row>
    <row r="187" spans="1:29" s="4" customFormat="1" x14ac:dyDescent="0.25">
      <c r="A187" s="5">
        <v>182</v>
      </c>
      <c r="D187" t="s">
        <v>330</v>
      </c>
      <c r="F187" t="s">
        <v>331</v>
      </c>
      <c r="G187" s="24"/>
      <c r="H187" s="8"/>
      <c r="I187" s="8">
        <v>0.2</v>
      </c>
      <c r="J187" s="7">
        <f t="shared" si="3"/>
        <v>0</v>
      </c>
      <c r="K187" s="5" t="s">
        <v>27</v>
      </c>
      <c r="L187" s="9">
        <v>0.2</v>
      </c>
      <c r="Q187" t="s">
        <v>325</v>
      </c>
      <c r="X187" s="10">
        <v>45861</v>
      </c>
      <c r="Y187" s="6"/>
      <c r="Z187" s="5">
        <v>1</v>
      </c>
      <c r="AA187" s="6"/>
      <c r="AB187" s="6"/>
      <c r="AC187" s="6"/>
    </row>
    <row r="188" spans="1:29" s="4" customFormat="1" x14ac:dyDescent="0.25">
      <c r="A188" s="5">
        <v>183</v>
      </c>
      <c r="D188" t="s">
        <v>332</v>
      </c>
      <c r="F188" t="s">
        <v>331</v>
      </c>
      <c r="G188" s="24"/>
      <c r="H188" s="8"/>
      <c r="I188" s="8">
        <v>0.2</v>
      </c>
      <c r="J188" s="7">
        <f t="shared" si="3"/>
        <v>0</v>
      </c>
      <c r="K188" s="5" t="s">
        <v>27</v>
      </c>
      <c r="L188" s="9">
        <v>0.2</v>
      </c>
      <c r="Q188" t="s">
        <v>325</v>
      </c>
      <c r="X188" s="10">
        <v>45861</v>
      </c>
      <c r="Y188" s="6"/>
      <c r="Z188" s="5">
        <v>1</v>
      </c>
      <c r="AA188" s="6"/>
      <c r="AB188" s="6"/>
      <c r="AC188" s="6"/>
    </row>
    <row r="189" spans="1:29" s="4" customFormat="1" x14ac:dyDescent="0.25">
      <c r="A189" s="5">
        <v>184</v>
      </c>
      <c r="D189" t="s">
        <v>66</v>
      </c>
      <c r="F189" t="s">
        <v>326</v>
      </c>
      <c r="G189" s="17">
        <v>6</v>
      </c>
      <c r="H189" s="8"/>
      <c r="I189" s="8"/>
      <c r="J189" s="7">
        <f t="shared" si="3"/>
        <v>6</v>
      </c>
      <c r="K189" s="5" t="s">
        <v>27</v>
      </c>
      <c r="L189" s="9">
        <v>0.08</v>
      </c>
      <c r="O189">
        <v>0.4</v>
      </c>
      <c r="Q189" t="s">
        <v>325</v>
      </c>
      <c r="X189" s="10">
        <v>45861</v>
      </c>
      <c r="Y189" s="6"/>
      <c r="Z189" s="5">
        <v>0</v>
      </c>
      <c r="AA189" s="6"/>
      <c r="AB189" s="6"/>
      <c r="AC189" s="6"/>
    </row>
    <row r="190" spans="1:29" s="4" customFormat="1" x14ac:dyDescent="0.25">
      <c r="A190" s="5">
        <v>185</v>
      </c>
      <c r="D190" t="s">
        <v>165</v>
      </c>
      <c r="F190" t="s">
        <v>328</v>
      </c>
      <c r="G190" s="17">
        <v>16</v>
      </c>
      <c r="H190" s="8"/>
      <c r="I190" s="6"/>
      <c r="J190" s="7">
        <f t="shared" si="3"/>
        <v>16</v>
      </c>
      <c r="K190" s="5" t="s">
        <v>27</v>
      </c>
      <c r="L190" s="9">
        <v>0.08</v>
      </c>
      <c r="O190">
        <v>0.4</v>
      </c>
      <c r="Q190" t="s">
        <v>325</v>
      </c>
      <c r="X190" s="10">
        <v>45861</v>
      </c>
      <c r="Y190" s="6"/>
      <c r="Z190" s="5">
        <v>0</v>
      </c>
      <c r="AA190" s="6"/>
      <c r="AB190" s="6"/>
      <c r="AC190" s="6"/>
    </row>
    <row r="191" spans="1:29" s="4" customFormat="1" x14ac:dyDescent="0.25">
      <c r="A191" s="5">
        <v>186</v>
      </c>
      <c r="D191" t="s">
        <v>67</v>
      </c>
      <c r="F191" t="s">
        <v>327</v>
      </c>
      <c r="G191" s="17">
        <v>10.5</v>
      </c>
      <c r="H191" s="8"/>
      <c r="I191" s="8"/>
      <c r="J191" s="7">
        <f t="shared" si="3"/>
        <v>10.5</v>
      </c>
      <c r="K191" s="5" t="s">
        <v>27</v>
      </c>
      <c r="L191" s="9">
        <v>0.08</v>
      </c>
      <c r="O191">
        <v>1</v>
      </c>
      <c r="Q191" t="s">
        <v>325</v>
      </c>
      <c r="X191" s="10">
        <v>45861</v>
      </c>
      <c r="Y191" s="6"/>
      <c r="Z191" s="5">
        <v>0</v>
      </c>
      <c r="AA191" s="6"/>
      <c r="AB191" s="6"/>
      <c r="AC191" s="6"/>
    </row>
    <row r="192" spans="1:29" s="4" customFormat="1" x14ac:dyDescent="0.25">
      <c r="A192" s="5">
        <v>187</v>
      </c>
      <c r="D192" t="s">
        <v>166</v>
      </c>
      <c r="F192" t="s">
        <v>329</v>
      </c>
      <c r="G192" s="17">
        <v>19</v>
      </c>
      <c r="H192" s="8"/>
      <c r="I192" s="6"/>
      <c r="J192" s="7">
        <f t="shared" si="3"/>
        <v>19</v>
      </c>
      <c r="K192" s="5" t="s">
        <v>27</v>
      </c>
      <c r="L192" s="9">
        <v>0.12</v>
      </c>
      <c r="O192">
        <v>1</v>
      </c>
      <c r="Q192" t="s">
        <v>325</v>
      </c>
      <c r="X192" s="10">
        <v>45861</v>
      </c>
      <c r="Y192" s="6"/>
      <c r="Z192" s="5">
        <v>0</v>
      </c>
      <c r="AA192" s="6"/>
      <c r="AB192" s="6"/>
      <c r="AC192" s="6"/>
    </row>
    <row r="193" spans="1:29" s="4" customFormat="1" x14ac:dyDescent="0.25">
      <c r="A193" s="5">
        <v>188</v>
      </c>
      <c r="D193" t="s">
        <v>506</v>
      </c>
      <c r="F193" t="s">
        <v>507</v>
      </c>
      <c r="G193" s="17">
        <v>3</v>
      </c>
      <c r="H193" s="8"/>
      <c r="I193" s="6"/>
      <c r="J193" s="7">
        <f t="shared" si="3"/>
        <v>3</v>
      </c>
      <c r="K193" s="5" t="s">
        <v>55</v>
      </c>
      <c r="L193" s="9">
        <v>0.1</v>
      </c>
      <c r="P193" t="s">
        <v>490</v>
      </c>
      <c r="Q193" t="s">
        <v>336</v>
      </c>
      <c r="V193" t="s">
        <v>491</v>
      </c>
      <c r="X193" s="10">
        <v>45861</v>
      </c>
      <c r="Y193" s="6"/>
      <c r="Z193" s="5">
        <v>0</v>
      </c>
      <c r="AA193" s="6"/>
      <c r="AB193" s="6"/>
      <c r="AC193" s="6"/>
    </row>
    <row r="194" spans="1:29" s="4" customFormat="1" x14ac:dyDescent="0.25">
      <c r="A194" s="5">
        <v>189</v>
      </c>
      <c r="D194" t="s">
        <v>531</v>
      </c>
      <c r="F194" t="s">
        <v>532</v>
      </c>
      <c r="G194" s="17">
        <v>1</v>
      </c>
      <c r="H194" s="8"/>
      <c r="I194" s="6"/>
      <c r="J194" s="7">
        <f t="shared" si="3"/>
        <v>1</v>
      </c>
      <c r="K194" s="5" t="s">
        <v>8</v>
      </c>
      <c r="L194" s="9">
        <v>0.04</v>
      </c>
      <c r="M194">
        <v>60</v>
      </c>
      <c r="N194">
        <v>60</v>
      </c>
      <c r="O194">
        <v>0</v>
      </c>
      <c r="P194" t="s">
        <v>475</v>
      </c>
      <c r="Q194" t="s">
        <v>336</v>
      </c>
      <c r="V194" t="s">
        <v>343</v>
      </c>
      <c r="W194" t="s">
        <v>343</v>
      </c>
      <c r="X194" s="10">
        <v>45861</v>
      </c>
      <c r="Y194" s="6"/>
      <c r="Z194" s="5">
        <v>0</v>
      </c>
      <c r="AA194" s="6"/>
      <c r="AB194" s="6"/>
      <c r="AC194" s="6"/>
    </row>
    <row r="195" spans="1:29" s="4" customFormat="1" x14ac:dyDescent="0.25">
      <c r="A195" s="5">
        <v>190</v>
      </c>
      <c r="D195" t="s">
        <v>448</v>
      </c>
      <c r="F195" t="s">
        <v>449</v>
      </c>
      <c r="G195" s="17">
        <v>0.83000000000000007</v>
      </c>
      <c r="H195" s="8"/>
      <c r="I195" s="6"/>
      <c r="J195" s="7">
        <f t="shared" si="3"/>
        <v>0.83000000000000007</v>
      </c>
      <c r="K195" s="5" t="s">
        <v>8</v>
      </c>
      <c r="L195" s="9">
        <v>0.03</v>
      </c>
      <c r="M195">
        <v>75</v>
      </c>
      <c r="O195">
        <v>70</v>
      </c>
      <c r="P195" t="s">
        <v>450</v>
      </c>
      <c r="Q195" t="s">
        <v>336</v>
      </c>
      <c r="V195" t="s">
        <v>451</v>
      </c>
      <c r="W195" t="s">
        <v>451</v>
      </c>
      <c r="X195" s="10">
        <v>45861</v>
      </c>
      <c r="Y195" s="6"/>
      <c r="Z195" s="5">
        <v>0</v>
      </c>
      <c r="AA195" s="6"/>
      <c r="AB195" s="6"/>
      <c r="AC195" s="6"/>
    </row>
    <row r="196" spans="1:29" s="4" customFormat="1" x14ac:dyDescent="0.25">
      <c r="A196" s="5">
        <v>191</v>
      </c>
      <c r="D196" t="s">
        <v>452</v>
      </c>
      <c r="F196" t="s">
        <v>453</v>
      </c>
      <c r="G196" s="17">
        <v>0.28999999999999998</v>
      </c>
      <c r="H196" s="8"/>
      <c r="I196" s="6"/>
      <c r="J196" s="7">
        <f t="shared" si="3"/>
        <v>0.28999999999999998</v>
      </c>
      <c r="K196" s="5" t="s">
        <v>8</v>
      </c>
      <c r="L196" s="9">
        <v>0.04</v>
      </c>
      <c r="M196">
        <v>100</v>
      </c>
      <c r="O196">
        <v>100</v>
      </c>
      <c r="P196" t="s">
        <v>450</v>
      </c>
      <c r="Q196" t="s">
        <v>336</v>
      </c>
      <c r="V196" t="s">
        <v>343</v>
      </c>
      <c r="W196" t="s">
        <v>343</v>
      </c>
      <c r="X196" s="10">
        <v>45861</v>
      </c>
      <c r="Y196" s="6"/>
      <c r="Z196" s="5">
        <v>0</v>
      </c>
      <c r="AA196" s="6"/>
      <c r="AB196" s="6"/>
      <c r="AC196" s="6"/>
    </row>
    <row r="197" spans="1:29" s="4" customFormat="1" x14ac:dyDescent="0.25">
      <c r="A197" s="5">
        <v>192</v>
      </c>
      <c r="D197" t="s">
        <v>454</v>
      </c>
      <c r="F197" t="s">
        <v>455</v>
      </c>
      <c r="G197" s="17">
        <v>0.28999999999999998</v>
      </c>
      <c r="H197" s="8"/>
      <c r="I197" s="6"/>
      <c r="J197" s="7">
        <f t="shared" si="3"/>
        <v>0.28999999999999998</v>
      </c>
      <c r="K197" s="5" t="s">
        <v>8</v>
      </c>
      <c r="L197" s="9">
        <v>0.04</v>
      </c>
      <c r="M197">
        <v>120</v>
      </c>
      <c r="O197">
        <v>120</v>
      </c>
      <c r="P197" t="s">
        <v>450</v>
      </c>
      <c r="Q197" t="s">
        <v>336</v>
      </c>
      <c r="V197" t="s">
        <v>343</v>
      </c>
      <c r="W197" t="s">
        <v>343</v>
      </c>
      <c r="X197" s="10">
        <v>45861</v>
      </c>
      <c r="Y197" s="6"/>
      <c r="Z197" s="5">
        <v>0</v>
      </c>
      <c r="AA197" s="6"/>
      <c r="AB197" s="6"/>
      <c r="AC197" s="6"/>
    </row>
    <row r="198" spans="1:29" s="4" customFormat="1" x14ac:dyDescent="0.25">
      <c r="A198" s="5">
        <v>193</v>
      </c>
      <c r="D198" t="s">
        <v>456</v>
      </c>
      <c r="F198" t="s">
        <v>457</v>
      </c>
      <c r="G198" s="17">
        <v>0.28000000000000003</v>
      </c>
      <c r="H198" s="8"/>
      <c r="I198" s="6"/>
      <c r="J198" s="7">
        <f t="shared" si="3"/>
        <v>0.28000000000000003</v>
      </c>
      <c r="K198" s="5" t="s">
        <v>8</v>
      </c>
      <c r="L198" s="9">
        <v>0.04</v>
      </c>
      <c r="M198">
        <v>45</v>
      </c>
      <c r="O198">
        <v>45</v>
      </c>
      <c r="P198" t="s">
        <v>450</v>
      </c>
      <c r="Q198" t="s">
        <v>336</v>
      </c>
      <c r="V198" t="s">
        <v>343</v>
      </c>
      <c r="W198" t="s">
        <v>343</v>
      </c>
      <c r="X198" s="10">
        <v>45861</v>
      </c>
      <c r="Y198" s="6"/>
      <c r="Z198" s="5">
        <v>0</v>
      </c>
      <c r="AA198" s="6"/>
      <c r="AB198" s="6"/>
      <c r="AC198" s="6"/>
    </row>
    <row r="199" spans="1:29" s="4" customFormat="1" x14ac:dyDescent="0.25">
      <c r="A199" s="5">
        <v>194</v>
      </c>
      <c r="D199" t="s">
        <v>541</v>
      </c>
      <c r="F199" t="s">
        <v>542</v>
      </c>
      <c r="G199" s="17">
        <v>3.25</v>
      </c>
      <c r="H199" s="8">
        <v>0</v>
      </c>
      <c r="I199" s="6"/>
      <c r="J199" s="7">
        <f t="shared" si="3"/>
        <v>3.25</v>
      </c>
      <c r="K199" s="5" t="s">
        <v>8</v>
      </c>
      <c r="L199" s="9">
        <v>0.05</v>
      </c>
      <c r="M199">
        <v>5000</v>
      </c>
      <c r="N199">
        <v>63.6</v>
      </c>
      <c r="P199" t="s">
        <v>537</v>
      </c>
      <c r="Q199" t="s">
        <v>336</v>
      </c>
      <c r="R199" t="s">
        <v>599</v>
      </c>
      <c r="V199" t="s">
        <v>407</v>
      </c>
      <c r="W199" t="s">
        <v>407</v>
      </c>
      <c r="X199" s="10">
        <v>45861</v>
      </c>
      <c r="Y199" s="6"/>
      <c r="Z199" s="5">
        <v>0</v>
      </c>
      <c r="AA199" s="6"/>
      <c r="AB199" s="6"/>
      <c r="AC199" s="6"/>
    </row>
    <row r="200" spans="1:29" s="4" customFormat="1" x14ac:dyDescent="0.25">
      <c r="A200" s="5">
        <v>195</v>
      </c>
      <c r="D200" t="s">
        <v>535</v>
      </c>
      <c r="F200" t="s">
        <v>536</v>
      </c>
      <c r="G200" s="17">
        <v>3</v>
      </c>
      <c r="H200" s="8">
        <v>0</v>
      </c>
      <c r="I200" s="6"/>
      <c r="J200" s="7">
        <f t="shared" si="3"/>
        <v>3</v>
      </c>
      <c r="K200" s="5" t="s">
        <v>8</v>
      </c>
      <c r="L200" s="9">
        <v>0.05</v>
      </c>
      <c r="M200">
        <v>3500</v>
      </c>
      <c r="P200" t="s">
        <v>537</v>
      </c>
      <c r="Q200" t="s">
        <v>336</v>
      </c>
      <c r="R200" t="s">
        <v>599</v>
      </c>
      <c r="V200" t="s">
        <v>538</v>
      </c>
      <c r="W200" t="s">
        <v>538</v>
      </c>
      <c r="X200" s="10">
        <v>45861</v>
      </c>
      <c r="Y200" s="6"/>
      <c r="Z200" s="5">
        <v>0</v>
      </c>
      <c r="AA200" s="6"/>
      <c r="AB200" s="6"/>
      <c r="AC200" s="6"/>
    </row>
    <row r="201" spans="1:29" s="4" customFormat="1" x14ac:dyDescent="0.25">
      <c r="A201" s="5">
        <v>196</v>
      </c>
      <c r="D201" t="s">
        <v>539</v>
      </c>
      <c r="F201" t="s">
        <v>540</v>
      </c>
      <c r="G201" s="17">
        <v>2.42</v>
      </c>
      <c r="H201" s="8">
        <v>0</v>
      </c>
      <c r="I201" s="6"/>
      <c r="J201" s="7">
        <f t="shared" si="3"/>
        <v>2.42</v>
      </c>
      <c r="K201" s="5" t="s">
        <v>8</v>
      </c>
      <c r="L201" s="9">
        <v>0.05</v>
      </c>
      <c r="M201">
        <v>5000</v>
      </c>
      <c r="N201">
        <v>49.3</v>
      </c>
      <c r="P201" t="s">
        <v>537</v>
      </c>
      <c r="Q201" t="s">
        <v>336</v>
      </c>
      <c r="R201" t="s">
        <v>599</v>
      </c>
      <c r="V201" t="s">
        <v>407</v>
      </c>
      <c r="W201" t="s">
        <v>407</v>
      </c>
      <c r="X201" s="10">
        <v>45861</v>
      </c>
      <c r="Y201" s="6"/>
      <c r="Z201" s="5">
        <v>0</v>
      </c>
      <c r="AA201" s="6"/>
      <c r="AB201" s="6"/>
      <c r="AC201" s="6"/>
    </row>
    <row r="202" spans="1:29" s="4" customFormat="1" x14ac:dyDescent="0.25">
      <c r="A202" s="5">
        <v>197</v>
      </c>
      <c r="D202" t="s">
        <v>311</v>
      </c>
      <c r="F202" t="s">
        <v>312</v>
      </c>
      <c r="G202" s="24"/>
      <c r="H202" s="8"/>
      <c r="I202" s="8">
        <v>0</v>
      </c>
      <c r="J202" s="7">
        <f t="shared" si="3"/>
        <v>0</v>
      </c>
      <c r="K202" s="5" t="s">
        <v>27</v>
      </c>
      <c r="L202" s="9">
        <v>0.2</v>
      </c>
      <c r="M202">
        <v>2800</v>
      </c>
      <c r="N202">
        <v>2070</v>
      </c>
      <c r="O202">
        <v>19</v>
      </c>
      <c r="Q202" t="s">
        <v>64</v>
      </c>
      <c r="S202" t="s">
        <v>165</v>
      </c>
      <c r="T202" t="s">
        <v>166</v>
      </c>
      <c r="X202" s="10">
        <v>45861</v>
      </c>
      <c r="Y202" s="6"/>
      <c r="Z202" s="5">
        <v>1</v>
      </c>
      <c r="AA202" s="6"/>
      <c r="AB202" s="6"/>
      <c r="AC202" s="6"/>
    </row>
    <row r="203" spans="1:29" s="4" customFormat="1" x14ac:dyDescent="0.25">
      <c r="A203" s="5">
        <v>198</v>
      </c>
      <c r="D203" t="s">
        <v>313</v>
      </c>
      <c r="F203" t="s">
        <v>312</v>
      </c>
      <c r="G203" s="24"/>
      <c r="H203" s="8"/>
      <c r="I203" s="8">
        <v>0</v>
      </c>
      <c r="J203" s="7">
        <f t="shared" si="3"/>
        <v>0</v>
      </c>
      <c r="K203" s="5" t="s">
        <v>27</v>
      </c>
      <c r="L203" s="9">
        <v>0.2</v>
      </c>
      <c r="M203">
        <v>2800</v>
      </c>
      <c r="N203">
        <v>2070</v>
      </c>
      <c r="O203">
        <v>19</v>
      </c>
      <c r="Q203" t="s">
        <v>64</v>
      </c>
      <c r="S203" t="s">
        <v>165</v>
      </c>
      <c r="T203" t="s">
        <v>166</v>
      </c>
      <c r="X203" s="10">
        <v>45861</v>
      </c>
      <c r="Y203" s="6"/>
      <c r="Z203" s="5">
        <v>1</v>
      </c>
      <c r="AA203" s="6"/>
      <c r="AB203" s="6"/>
      <c r="AC203" s="6"/>
    </row>
    <row r="204" spans="1:29" s="4" customFormat="1" x14ac:dyDescent="0.25">
      <c r="A204" s="5">
        <v>199</v>
      </c>
      <c r="D204" t="s">
        <v>314</v>
      </c>
      <c r="F204" t="s">
        <v>312</v>
      </c>
      <c r="G204" s="24"/>
      <c r="H204" s="8"/>
      <c r="I204" s="8">
        <v>0</v>
      </c>
      <c r="J204" s="7">
        <f t="shared" si="3"/>
        <v>0</v>
      </c>
      <c r="K204" s="5" t="s">
        <v>27</v>
      </c>
      <c r="L204" s="9">
        <v>0.2</v>
      </c>
      <c r="M204">
        <v>2800</v>
      </c>
      <c r="N204">
        <v>2070</v>
      </c>
      <c r="O204">
        <v>19</v>
      </c>
      <c r="Q204" t="s">
        <v>64</v>
      </c>
      <c r="S204" t="s">
        <v>165</v>
      </c>
      <c r="T204" t="s">
        <v>166</v>
      </c>
      <c r="X204" s="10">
        <v>45861</v>
      </c>
      <c r="Y204" s="6"/>
      <c r="Z204" s="5">
        <v>1</v>
      </c>
      <c r="AA204" s="6"/>
      <c r="AB204" s="6"/>
      <c r="AC204" s="6"/>
    </row>
    <row r="205" spans="1:29" s="4" customFormat="1" x14ac:dyDescent="0.25">
      <c r="A205" s="5">
        <v>200</v>
      </c>
      <c r="D205" t="s">
        <v>315</v>
      </c>
      <c r="F205" t="s">
        <v>312</v>
      </c>
      <c r="G205" s="24"/>
      <c r="H205" s="8"/>
      <c r="I205" s="8">
        <v>0</v>
      </c>
      <c r="J205" s="7">
        <f t="shared" si="3"/>
        <v>0</v>
      </c>
      <c r="K205" s="5" t="s">
        <v>27</v>
      </c>
      <c r="L205" s="9">
        <v>0.2</v>
      </c>
      <c r="M205">
        <v>2800</v>
      </c>
      <c r="N205">
        <v>2070</v>
      </c>
      <c r="O205">
        <v>19</v>
      </c>
      <c r="Q205" t="s">
        <v>64</v>
      </c>
      <c r="S205" t="s">
        <v>165</v>
      </c>
      <c r="T205" t="s">
        <v>166</v>
      </c>
      <c r="X205" s="10">
        <v>45861</v>
      </c>
      <c r="Y205" s="6"/>
      <c r="Z205" s="5">
        <v>1</v>
      </c>
      <c r="AA205" s="6"/>
      <c r="AB205" s="6"/>
      <c r="AC205" s="6"/>
    </row>
    <row r="206" spans="1:29" s="4" customFormat="1" x14ac:dyDescent="0.25">
      <c r="A206" s="5">
        <v>201</v>
      </c>
      <c r="D206" t="s">
        <v>316</v>
      </c>
      <c r="F206" t="s">
        <v>312</v>
      </c>
      <c r="G206" s="24"/>
      <c r="H206" s="8"/>
      <c r="I206" s="8">
        <v>0</v>
      </c>
      <c r="J206" s="7">
        <f t="shared" ref="J206:J263" si="6">G206*(1-I206)*(1+H206)</f>
        <v>0</v>
      </c>
      <c r="K206" s="5" t="s">
        <v>27</v>
      </c>
      <c r="L206" s="9">
        <v>0.2</v>
      </c>
      <c r="M206">
        <v>2800</v>
      </c>
      <c r="N206">
        <v>2070</v>
      </c>
      <c r="O206">
        <v>19</v>
      </c>
      <c r="Q206" t="s">
        <v>64</v>
      </c>
      <c r="S206" t="s">
        <v>165</v>
      </c>
      <c r="T206" t="s">
        <v>166</v>
      </c>
      <c r="X206" s="10">
        <v>45861</v>
      </c>
      <c r="Y206" s="6"/>
      <c r="Z206" s="5">
        <v>1</v>
      </c>
      <c r="AA206" s="6"/>
      <c r="AB206" s="6"/>
      <c r="AC206" s="6"/>
    </row>
    <row r="207" spans="1:29" s="4" customFormat="1" x14ac:dyDescent="0.25">
      <c r="A207" s="5">
        <v>202</v>
      </c>
      <c r="D207" t="s">
        <v>317</v>
      </c>
      <c r="F207" t="s">
        <v>312</v>
      </c>
      <c r="G207" s="24"/>
      <c r="H207" s="8"/>
      <c r="I207" s="8">
        <v>0</v>
      </c>
      <c r="J207" s="7">
        <f t="shared" si="6"/>
        <v>0</v>
      </c>
      <c r="K207" s="5" t="s">
        <v>27</v>
      </c>
      <c r="L207" s="9">
        <v>0.2</v>
      </c>
      <c r="M207">
        <v>2800</v>
      </c>
      <c r="N207">
        <v>2070</v>
      </c>
      <c r="O207">
        <v>19</v>
      </c>
      <c r="Q207" t="s">
        <v>64</v>
      </c>
      <c r="S207" t="s">
        <v>165</v>
      </c>
      <c r="T207" t="s">
        <v>166</v>
      </c>
      <c r="X207" s="10">
        <v>45861</v>
      </c>
      <c r="Y207" s="6"/>
      <c r="Z207" s="5">
        <v>1</v>
      </c>
      <c r="AA207" s="6"/>
      <c r="AB207" s="6"/>
      <c r="AC207" s="6"/>
    </row>
    <row r="208" spans="1:29" s="4" customFormat="1" x14ac:dyDescent="0.25">
      <c r="A208" s="5">
        <v>203</v>
      </c>
      <c r="D208" t="s">
        <v>318</v>
      </c>
      <c r="F208" t="s">
        <v>312</v>
      </c>
      <c r="G208" s="24"/>
      <c r="H208" s="8"/>
      <c r="I208" s="8">
        <v>0</v>
      </c>
      <c r="J208" s="7">
        <f t="shared" si="6"/>
        <v>0</v>
      </c>
      <c r="K208" s="5" t="s">
        <v>27</v>
      </c>
      <c r="L208" s="9">
        <v>0.2</v>
      </c>
      <c r="M208">
        <v>2800</v>
      </c>
      <c r="N208">
        <v>2070</v>
      </c>
      <c r="O208">
        <v>19</v>
      </c>
      <c r="Q208" t="s">
        <v>64</v>
      </c>
      <c r="S208" t="s">
        <v>165</v>
      </c>
      <c r="T208" t="s">
        <v>166</v>
      </c>
      <c r="X208" s="10">
        <v>45861</v>
      </c>
      <c r="Y208" s="6"/>
      <c r="Z208" s="5">
        <v>1</v>
      </c>
      <c r="AA208" s="6"/>
      <c r="AB208" s="6"/>
      <c r="AC208" s="6"/>
    </row>
    <row r="209" spans="1:29" s="4" customFormat="1" x14ac:dyDescent="0.25">
      <c r="A209" s="5">
        <v>204</v>
      </c>
      <c r="D209" t="s">
        <v>319</v>
      </c>
      <c r="F209" t="s">
        <v>312</v>
      </c>
      <c r="G209" s="24"/>
      <c r="H209" s="8"/>
      <c r="I209" s="8">
        <v>0</v>
      </c>
      <c r="J209" s="7">
        <f t="shared" si="6"/>
        <v>0</v>
      </c>
      <c r="K209" s="5" t="s">
        <v>27</v>
      </c>
      <c r="L209" s="9">
        <v>0.2</v>
      </c>
      <c r="M209">
        <v>2800</v>
      </c>
      <c r="N209">
        <v>2070</v>
      </c>
      <c r="O209">
        <v>19</v>
      </c>
      <c r="Q209" t="s">
        <v>64</v>
      </c>
      <c r="S209" t="s">
        <v>165</v>
      </c>
      <c r="T209" t="s">
        <v>166</v>
      </c>
      <c r="X209" s="10">
        <v>45861</v>
      </c>
      <c r="Y209" s="6"/>
      <c r="Z209" s="5">
        <v>1</v>
      </c>
      <c r="AA209" s="6"/>
      <c r="AB209" s="6"/>
      <c r="AC209" s="6"/>
    </row>
    <row r="210" spans="1:29" s="4" customFormat="1" x14ac:dyDescent="0.25">
      <c r="A210" s="5">
        <v>205</v>
      </c>
      <c r="D210" t="s">
        <v>320</v>
      </c>
      <c r="F210" t="s">
        <v>312</v>
      </c>
      <c r="G210" s="24"/>
      <c r="H210" s="8"/>
      <c r="I210" s="8">
        <v>0</v>
      </c>
      <c r="J210" s="7">
        <f t="shared" si="6"/>
        <v>0</v>
      </c>
      <c r="K210" s="5" t="s">
        <v>27</v>
      </c>
      <c r="L210" s="9">
        <v>0.2</v>
      </c>
      <c r="M210">
        <v>2800</v>
      </c>
      <c r="N210">
        <v>2070</v>
      </c>
      <c r="O210">
        <v>19</v>
      </c>
      <c r="Q210" t="s">
        <v>64</v>
      </c>
      <c r="S210" t="s">
        <v>165</v>
      </c>
      <c r="T210" t="s">
        <v>166</v>
      </c>
      <c r="X210" s="10">
        <v>45861</v>
      </c>
      <c r="Y210" s="6"/>
      <c r="Z210" s="5">
        <v>1</v>
      </c>
      <c r="AA210" s="6"/>
      <c r="AB210" s="6"/>
      <c r="AC210" s="6"/>
    </row>
    <row r="211" spans="1:29" s="4" customFormat="1" x14ac:dyDescent="0.25">
      <c r="A211" s="5">
        <v>206</v>
      </c>
      <c r="D211" t="s">
        <v>321</v>
      </c>
      <c r="F211" t="s">
        <v>312</v>
      </c>
      <c r="G211" s="24"/>
      <c r="H211" s="8"/>
      <c r="I211" s="8">
        <v>0</v>
      </c>
      <c r="J211" s="7">
        <f t="shared" si="6"/>
        <v>0</v>
      </c>
      <c r="K211" s="5" t="s">
        <v>27</v>
      </c>
      <c r="L211" s="9">
        <v>0.2</v>
      </c>
      <c r="M211">
        <v>2800</v>
      </c>
      <c r="N211">
        <v>2070</v>
      </c>
      <c r="O211">
        <v>19</v>
      </c>
      <c r="Q211" t="s">
        <v>64</v>
      </c>
      <c r="S211" t="s">
        <v>165</v>
      </c>
      <c r="T211" t="s">
        <v>166</v>
      </c>
      <c r="X211" s="10">
        <v>45861</v>
      </c>
      <c r="Y211" s="6"/>
      <c r="Z211" s="5">
        <v>1</v>
      </c>
      <c r="AA211" s="6"/>
      <c r="AB211" s="6"/>
      <c r="AC211" s="6"/>
    </row>
    <row r="212" spans="1:29" s="4" customFormat="1" x14ac:dyDescent="0.25">
      <c r="A212" s="5">
        <v>207</v>
      </c>
      <c r="D212" t="s">
        <v>322</v>
      </c>
      <c r="F212" t="s">
        <v>312</v>
      </c>
      <c r="G212" s="24"/>
      <c r="H212" s="8"/>
      <c r="I212" s="8">
        <v>0</v>
      </c>
      <c r="J212" s="7">
        <f t="shared" si="6"/>
        <v>0</v>
      </c>
      <c r="K212" s="5" t="s">
        <v>27</v>
      </c>
      <c r="L212" s="9">
        <v>0.2</v>
      </c>
      <c r="M212">
        <v>2800</v>
      </c>
      <c r="N212">
        <v>2070</v>
      </c>
      <c r="O212">
        <v>19</v>
      </c>
      <c r="Q212" t="s">
        <v>64</v>
      </c>
      <c r="S212" t="s">
        <v>165</v>
      </c>
      <c r="T212" t="s">
        <v>166</v>
      </c>
      <c r="X212" s="10">
        <v>45861</v>
      </c>
      <c r="Y212" s="6"/>
      <c r="Z212" s="5">
        <v>1</v>
      </c>
      <c r="AA212" s="6"/>
      <c r="AB212" s="6"/>
      <c r="AC212" s="6"/>
    </row>
    <row r="213" spans="1:29" s="4" customFormat="1" x14ac:dyDescent="0.25">
      <c r="A213" s="5">
        <v>208</v>
      </c>
      <c r="D213" t="s">
        <v>308</v>
      </c>
      <c r="F213" t="s">
        <v>309</v>
      </c>
      <c r="G213" s="24"/>
      <c r="H213" s="8"/>
      <c r="I213" s="8">
        <v>0</v>
      </c>
      <c r="J213" s="7">
        <f t="shared" si="6"/>
        <v>0</v>
      </c>
      <c r="K213" s="5" t="s">
        <v>27</v>
      </c>
      <c r="L213" s="9">
        <v>0.2</v>
      </c>
      <c r="M213">
        <v>2800</v>
      </c>
      <c r="N213">
        <v>2070</v>
      </c>
      <c r="O213">
        <v>19</v>
      </c>
      <c r="Q213" t="s">
        <v>64</v>
      </c>
      <c r="X213" s="10">
        <v>45861</v>
      </c>
      <c r="Y213" s="6"/>
      <c r="Z213" s="5">
        <v>1</v>
      </c>
      <c r="AA213" s="6"/>
      <c r="AB213" s="6"/>
      <c r="AC213" s="6"/>
    </row>
    <row r="214" spans="1:29" s="4" customFormat="1" x14ac:dyDescent="0.25">
      <c r="A214" s="5">
        <v>209</v>
      </c>
      <c r="D214" t="s">
        <v>310</v>
      </c>
      <c r="F214" t="s">
        <v>309</v>
      </c>
      <c r="G214" s="24"/>
      <c r="H214" s="8"/>
      <c r="I214" s="8">
        <v>0</v>
      </c>
      <c r="J214" s="7">
        <f t="shared" si="6"/>
        <v>0</v>
      </c>
      <c r="K214" s="5" t="s">
        <v>27</v>
      </c>
      <c r="L214" s="9">
        <v>0.2</v>
      </c>
      <c r="M214">
        <v>2800</v>
      </c>
      <c r="N214">
        <v>2070</v>
      </c>
      <c r="O214">
        <v>19</v>
      </c>
      <c r="Q214" t="s">
        <v>64</v>
      </c>
      <c r="X214" s="10">
        <v>45861</v>
      </c>
      <c r="Y214" s="6"/>
      <c r="Z214" s="5">
        <v>1</v>
      </c>
      <c r="AA214" s="6"/>
      <c r="AB214" s="6"/>
      <c r="AC214" s="6"/>
    </row>
    <row r="215" spans="1:29" s="4" customFormat="1" x14ac:dyDescent="0.25">
      <c r="A215" s="5">
        <v>210</v>
      </c>
      <c r="D215" t="s">
        <v>549</v>
      </c>
      <c r="F215" t="s">
        <v>550</v>
      </c>
      <c r="G215" s="17">
        <v>3</v>
      </c>
      <c r="H215" s="8"/>
      <c r="I215" s="6"/>
      <c r="J215" s="7">
        <f t="shared" si="6"/>
        <v>3</v>
      </c>
      <c r="K215" s="5" t="s">
        <v>8</v>
      </c>
      <c r="L215" s="9">
        <v>0.02</v>
      </c>
      <c r="O215">
        <v>0</v>
      </c>
      <c r="P215" t="s">
        <v>537</v>
      </c>
      <c r="Q215" t="s">
        <v>336</v>
      </c>
      <c r="V215" t="s">
        <v>551</v>
      </c>
      <c r="W215" t="s">
        <v>551</v>
      </c>
      <c r="X215" s="10">
        <v>45861</v>
      </c>
      <c r="Y215" s="6"/>
      <c r="Z215" s="5">
        <v>0</v>
      </c>
      <c r="AA215" s="6"/>
      <c r="AB215" s="6"/>
      <c r="AC215" s="6"/>
    </row>
    <row r="216" spans="1:29" s="4" customFormat="1" x14ac:dyDescent="0.25">
      <c r="A216" s="5">
        <v>211</v>
      </c>
      <c r="D216" t="s">
        <v>552</v>
      </c>
      <c r="F216" t="s">
        <v>553</v>
      </c>
      <c r="G216" s="17">
        <v>1.5</v>
      </c>
      <c r="H216" s="8"/>
      <c r="I216" s="6"/>
      <c r="J216" s="7">
        <f t="shared" si="6"/>
        <v>1.5</v>
      </c>
      <c r="K216" s="5" t="s">
        <v>8</v>
      </c>
      <c r="L216" s="9">
        <v>0.04</v>
      </c>
      <c r="M216">
        <v>20</v>
      </c>
      <c r="N216">
        <v>20</v>
      </c>
      <c r="O216">
        <v>20</v>
      </c>
      <c r="P216" t="s">
        <v>537</v>
      </c>
      <c r="Q216" t="s">
        <v>336</v>
      </c>
      <c r="R216" t="s">
        <v>600</v>
      </c>
      <c r="V216" t="s">
        <v>343</v>
      </c>
      <c r="W216" t="s">
        <v>343</v>
      </c>
      <c r="X216" s="10">
        <v>45861</v>
      </c>
      <c r="Y216" s="6"/>
      <c r="Z216" s="5">
        <v>0</v>
      </c>
      <c r="AA216" s="6"/>
      <c r="AB216" s="6"/>
      <c r="AC216" s="6"/>
    </row>
    <row r="217" spans="1:29" s="4" customFormat="1" x14ac:dyDescent="0.25">
      <c r="A217" s="5">
        <v>212</v>
      </c>
      <c r="D217" t="s">
        <v>469</v>
      </c>
      <c r="F217" t="s">
        <v>470</v>
      </c>
      <c r="G217" s="17">
        <v>13.35</v>
      </c>
      <c r="H217" s="8"/>
      <c r="I217" s="8">
        <v>0.35</v>
      </c>
      <c r="J217" s="7">
        <f t="shared" si="6"/>
        <v>8.6775000000000002</v>
      </c>
      <c r="K217" s="6" t="s">
        <v>8</v>
      </c>
      <c r="L217" s="9">
        <v>0.05</v>
      </c>
      <c r="M217" s="4">
        <v>1000</v>
      </c>
      <c r="N217">
        <v>562</v>
      </c>
      <c r="O217">
        <v>16</v>
      </c>
      <c r="P217" t="s">
        <v>475</v>
      </c>
      <c r="Q217" t="s">
        <v>336</v>
      </c>
      <c r="R217" t="s">
        <v>597</v>
      </c>
      <c r="V217" t="s">
        <v>343</v>
      </c>
      <c r="W217" t="s">
        <v>343</v>
      </c>
      <c r="X217" s="10">
        <v>45861</v>
      </c>
      <c r="Y217" s="6"/>
      <c r="Z217" s="5">
        <v>0</v>
      </c>
      <c r="AA217" s="6"/>
      <c r="AB217" s="6"/>
      <c r="AC217" s="6"/>
    </row>
    <row r="218" spans="1:29" x14ac:dyDescent="0.25">
      <c r="A218" s="5">
        <v>213</v>
      </c>
      <c r="B218" s="4"/>
      <c r="C218" s="4"/>
      <c r="D218" t="s">
        <v>476</v>
      </c>
      <c r="E218" s="4"/>
      <c r="F218" t="s">
        <v>477</v>
      </c>
      <c r="G218" s="17">
        <v>9.4</v>
      </c>
      <c r="H218" s="8"/>
      <c r="I218" s="8">
        <v>0.1</v>
      </c>
      <c r="J218" s="7">
        <f t="shared" si="6"/>
        <v>8.4600000000000009</v>
      </c>
      <c r="K218" s="5" t="s">
        <v>8</v>
      </c>
      <c r="L218" s="9">
        <v>0.05</v>
      </c>
      <c r="M218">
        <v>562</v>
      </c>
      <c r="N218">
        <v>580</v>
      </c>
      <c r="O218">
        <v>16</v>
      </c>
      <c r="P218" t="s">
        <v>475</v>
      </c>
      <c r="Q218" t="s">
        <v>336</v>
      </c>
      <c r="R218" t="s">
        <v>597</v>
      </c>
      <c r="S218" s="4"/>
      <c r="T218" s="4"/>
      <c r="U218" s="4"/>
      <c r="V218" t="s">
        <v>343</v>
      </c>
      <c r="W218" t="s">
        <v>343</v>
      </c>
      <c r="X218" s="10">
        <v>45861</v>
      </c>
      <c r="Y218" s="6"/>
      <c r="Z218" s="5">
        <v>0</v>
      </c>
      <c r="AA218" s="6"/>
      <c r="AB218" s="6"/>
      <c r="AC218" s="6"/>
    </row>
    <row r="219" spans="1:29" x14ac:dyDescent="0.25">
      <c r="A219" s="5">
        <v>214</v>
      </c>
      <c r="B219" s="4"/>
      <c r="C219" s="4"/>
      <c r="D219" t="s">
        <v>473</v>
      </c>
      <c r="E219" s="4"/>
      <c r="F219" t="s">
        <v>474</v>
      </c>
      <c r="G219" s="17">
        <v>11.61</v>
      </c>
      <c r="H219" s="8"/>
      <c r="I219" s="8">
        <v>0.1</v>
      </c>
      <c r="J219" s="7">
        <f t="shared" si="6"/>
        <v>10.449</v>
      </c>
      <c r="K219" s="5" t="s">
        <v>8</v>
      </c>
      <c r="L219" s="9">
        <v>0.05</v>
      </c>
      <c r="M219">
        <v>562</v>
      </c>
      <c r="N219">
        <v>580</v>
      </c>
      <c r="O219">
        <v>16</v>
      </c>
      <c r="P219" t="s">
        <v>475</v>
      </c>
      <c r="Q219" t="s">
        <v>336</v>
      </c>
      <c r="R219" t="s">
        <v>597</v>
      </c>
      <c r="S219" s="4"/>
      <c r="T219" s="4"/>
      <c r="U219" s="4"/>
      <c r="V219" t="s">
        <v>343</v>
      </c>
      <c r="W219" t="s">
        <v>343</v>
      </c>
      <c r="X219" s="10">
        <v>45861</v>
      </c>
      <c r="Y219" s="6"/>
      <c r="Z219" s="5">
        <v>0</v>
      </c>
      <c r="AA219" s="6"/>
      <c r="AB219" s="6"/>
      <c r="AC219" s="6"/>
    </row>
    <row r="220" spans="1:29" x14ac:dyDescent="0.25">
      <c r="A220" s="5">
        <v>215</v>
      </c>
      <c r="B220" s="4"/>
      <c r="C220" s="4"/>
      <c r="D220" t="s">
        <v>471</v>
      </c>
      <c r="E220" s="4"/>
      <c r="F220" t="s">
        <v>472</v>
      </c>
      <c r="G220" s="17">
        <v>11.7</v>
      </c>
      <c r="H220" s="8"/>
      <c r="I220" s="8">
        <v>0.35</v>
      </c>
      <c r="J220" s="7">
        <f t="shared" si="6"/>
        <v>7.6049999999999995</v>
      </c>
      <c r="K220" s="6" t="s">
        <v>8</v>
      </c>
      <c r="L220" s="9">
        <v>0.05</v>
      </c>
      <c r="M220" s="4">
        <v>900</v>
      </c>
      <c r="N220">
        <v>562</v>
      </c>
      <c r="O220">
        <v>16</v>
      </c>
      <c r="P220" t="s">
        <v>475</v>
      </c>
      <c r="Q220" t="s">
        <v>336</v>
      </c>
      <c r="R220" t="s">
        <v>597</v>
      </c>
      <c r="S220" s="4"/>
      <c r="T220" s="4"/>
      <c r="U220" s="4"/>
      <c r="V220" t="s">
        <v>343</v>
      </c>
      <c r="W220" t="s">
        <v>343</v>
      </c>
      <c r="X220" s="10">
        <v>45861</v>
      </c>
      <c r="Y220" s="6"/>
      <c r="Z220" s="5">
        <v>0</v>
      </c>
      <c r="AA220" s="6"/>
      <c r="AB220" s="6"/>
      <c r="AC220" s="6"/>
    </row>
    <row r="221" spans="1:29" x14ac:dyDescent="0.25">
      <c r="A221" s="5">
        <v>216</v>
      </c>
      <c r="B221" s="4"/>
      <c r="C221" s="4"/>
      <c r="D221" t="s">
        <v>464</v>
      </c>
      <c r="E221" s="4"/>
      <c r="F221" t="s">
        <v>465</v>
      </c>
      <c r="G221" s="17">
        <v>3.44</v>
      </c>
      <c r="H221" s="8"/>
      <c r="I221" s="8">
        <v>0.2</v>
      </c>
      <c r="J221" s="7">
        <f t="shared" si="6"/>
        <v>2.7520000000000002</v>
      </c>
      <c r="K221" s="5" t="s">
        <v>55</v>
      </c>
      <c r="L221" s="9">
        <v>0.15</v>
      </c>
      <c r="M221">
        <v>4000</v>
      </c>
      <c r="N221" s="4">
        <v>120</v>
      </c>
      <c r="O221">
        <v>16</v>
      </c>
      <c r="P221" t="s">
        <v>466</v>
      </c>
      <c r="Q221" t="s">
        <v>336</v>
      </c>
      <c r="R221" t="s">
        <v>427</v>
      </c>
      <c r="S221" s="4"/>
      <c r="T221" s="4"/>
      <c r="U221" s="4"/>
      <c r="V221" t="s">
        <v>343</v>
      </c>
      <c r="W221" t="s">
        <v>343</v>
      </c>
      <c r="X221" s="10">
        <v>45861</v>
      </c>
      <c r="Y221" s="6"/>
      <c r="Z221" s="5">
        <v>0</v>
      </c>
      <c r="AA221" s="6"/>
      <c r="AB221" s="6"/>
      <c r="AC221" s="6"/>
    </row>
    <row r="222" spans="1:29" x14ac:dyDescent="0.25">
      <c r="A222" s="5">
        <v>217</v>
      </c>
      <c r="B222" s="4"/>
      <c r="C222" s="4"/>
      <c r="D222" t="s">
        <v>467</v>
      </c>
      <c r="E222" s="4"/>
      <c r="F222" t="s">
        <v>468</v>
      </c>
      <c r="G222" s="17">
        <v>4.7</v>
      </c>
      <c r="H222" s="8"/>
      <c r="I222" s="8"/>
      <c r="J222" s="7">
        <f t="shared" si="6"/>
        <v>4.7</v>
      </c>
      <c r="K222" s="5" t="s">
        <v>55</v>
      </c>
      <c r="L222" s="9">
        <v>0.15</v>
      </c>
      <c r="M222">
        <v>4000</v>
      </c>
      <c r="N222" s="4">
        <v>120</v>
      </c>
      <c r="O222">
        <v>16</v>
      </c>
      <c r="P222" t="s">
        <v>466</v>
      </c>
      <c r="Q222" t="s">
        <v>336</v>
      </c>
      <c r="R222" t="s">
        <v>596</v>
      </c>
      <c r="S222" s="4"/>
      <c r="T222" s="4"/>
      <c r="U222" s="4"/>
      <c r="V222" t="s">
        <v>343</v>
      </c>
      <c r="W222" t="s">
        <v>343</v>
      </c>
      <c r="X222" s="10">
        <v>45861</v>
      </c>
      <c r="Y222" s="6"/>
      <c r="Z222" s="5">
        <v>0</v>
      </c>
      <c r="AA222" s="6"/>
      <c r="AB222" s="6"/>
      <c r="AC222" s="6"/>
    </row>
    <row r="223" spans="1:29" s="4" customFormat="1" x14ac:dyDescent="0.25">
      <c r="A223" s="5">
        <v>218</v>
      </c>
      <c r="D223" t="s">
        <v>446</v>
      </c>
      <c r="F223" t="s">
        <v>447</v>
      </c>
      <c r="G223" s="17">
        <v>1.25</v>
      </c>
      <c r="H223" s="8"/>
      <c r="I223" s="8">
        <v>0.25</v>
      </c>
      <c r="J223" s="7">
        <f t="shared" si="6"/>
        <v>0.9375</v>
      </c>
      <c r="K223" s="5" t="s">
        <v>8</v>
      </c>
      <c r="L223" s="9">
        <v>0.02</v>
      </c>
      <c r="O223">
        <v>0</v>
      </c>
      <c r="P223" t="s">
        <v>426</v>
      </c>
      <c r="Q223" t="s">
        <v>336</v>
      </c>
      <c r="V223" t="s">
        <v>343</v>
      </c>
      <c r="W223" t="s">
        <v>343</v>
      </c>
      <c r="X223" s="10">
        <v>45861</v>
      </c>
      <c r="Y223" s="6"/>
      <c r="Z223" s="5">
        <v>0</v>
      </c>
      <c r="AA223" s="6"/>
      <c r="AB223" s="6"/>
      <c r="AC223" s="6"/>
    </row>
    <row r="224" spans="1:29" s="4" customFormat="1" x14ac:dyDescent="0.25">
      <c r="A224" s="5">
        <v>219</v>
      </c>
      <c r="D224" t="s">
        <v>444</v>
      </c>
      <c r="F224" t="s">
        <v>445</v>
      </c>
      <c r="G224" s="17">
        <v>8.16</v>
      </c>
      <c r="H224" s="8"/>
      <c r="I224" s="8">
        <v>0.65</v>
      </c>
      <c r="J224" s="7">
        <f t="shared" si="6"/>
        <v>2.8559999999999999</v>
      </c>
      <c r="K224" s="5" t="s">
        <v>8</v>
      </c>
      <c r="L224" s="9">
        <v>0.05</v>
      </c>
      <c r="O224">
        <v>16</v>
      </c>
      <c r="P224" t="s">
        <v>426</v>
      </c>
      <c r="Q224" t="s">
        <v>336</v>
      </c>
      <c r="V224" t="s">
        <v>343</v>
      </c>
      <c r="W224" t="s">
        <v>343</v>
      </c>
      <c r="X224" s="10">
        <v>45861</v>
      </c>
      <c r="Y224" s="6"/>
      <c r="Z224" s="5">
        <v>0</v>
      </c>
      <c r="AA224" s="6"/>
      <c r="AB224" s="6"/>
      <c r="AC224" s="6"/>
    </row>
    <row r="225" spans="1:29" s="4" customFormat="1" x14ac:dyDescent="0.25">
      <c r="A225" s="5">
        <v>220</v>
      </c>
      <c r="D225" t="s">
        <v>410</v>
      </c>
      <c r="F225" t="s">
        <v>411</v>
      </c>
      <c r="G225" s="17">
        <v>2.5099999999999998</v>
      </c>
      <c r="H225" s="8"/>
      <c r="I225" s="6"/>
      <c r="J225" s="7">
        <f t="shared" si="6"/>
        <v>2.5099999999999998</v>
      </c>
      <c r="K225" s="5" t="s">
        <v>55</v>
      </c>
      <c r="L225" s="9">
        <v>0.1</v>
      </c>
      <c r="O225">
        <v>0</v>
      </c>
      <c r="P225" t="s">
        <v>401</v>
      </c>
      <c r="Q225" t="s">
        <v>336</v>
      </c>
      <c r="V225" t="s">
        <v>343</v>
      </c>
      <c r="W225" t="s">
        <v>343</v>
      </c>
      <c r="X225" s="10">
        <v>45861</v>
      </c>
      <c r="Y225" s="6"/>
      <c r="Z225" s="5">
        <v>0</v>
      </c>
      <c r="AA225" s="6"/>
      <c r="AB225" s="6"/>
      <c r="AC225" s="6"/>
    </row>
    <row r="226" spans="1:29" s="4" customFormat="1" x14ac:dyDescent="0.25">
      <c r="A226" s="5">
        <v>221</v>
      </c>
      <c r="B226" s="4" t="s">
        <v>622</v>
      </c>
      <c r="C226" s="26" t="s">
        <v>615</v>
      </c>
      <c r="D226" t="s">
        <v>628</v>
      </c>
      <c r="F226" s="26" t="s">
        <v>614</v>
      </c>
      <c r="G226" s="17">
        <v>12.5</v>
      </c>
      <c r="H226" s="8">
        <v>0.1</v>
      </c>
      <c r="I226" s="6"/>
      <c r="J226" s="7">
        <f t="shared" ref="J226" si="7">G226*(1-I226)*(1+H226)</f>
        <v>13.750000000000002</v>
      </c>
      <c r="K226" s="5" t="s">
        <v>8</v>
      </c>
      <c r="L226" s="9">
        <v>0.1</v>
      </c>
      <c r="M226"/>
      <c r="N226">
        <v>17</v>
      </c>
      <c r="O226" s="4">
        <v>17</v>
      </c>
      <c r="P226" t="s">
        <v>401</v>
      </c>
      <c r="Q226" t="s">
        <v>336</v>
      </c>
      <c r="R226" s="4" t="s">
        <v>616</v>
      </c>
      <c r="V226" t="s">
        <v>416</v>
      </c>
      <c r="W226" t="s">
        <v>416</v>
      </c>
      <c r="X226" s="10">
        <v>45861</v>
      </c>
      <c r="Y226" s="6"/>
      <c r="Z226" s="5">
        <v>0</v>
      </c>
      <c r="AA226" s="6" t="s">
        <v>618</v>
      </c>
      <c r="AB226" s="6"/>
      <c r="AC226" s="6"/>
    </row>
    <row r="227" spans="1:29" s="4" customFormat="1" x14ac:dyDescent="0.25">
      <c r="A227" s="5">
        <v>222</v>
      </c>
      <c r="B227" s="4" t="s">
        <v>621</v>
      </c>
      <c r="C227" s="26" t="s">
        <v>643</v>
      </c>
      <c r="D227" t="s">
        <v>629</v>
      </c>
      <c r="F227" s="26" t="s">
        <v>625</v>
      </c>
      <c r="G227" s="17">
        <v>11.8</v>
      </c>
      <c r="H227" s="8">
        <v>0.1</v>
      </c>
      <c r="I227" s="16"/>
      <c r="J227" s="7">
        <f>G227*(1-I227)*(1+H227)</f>
        <v>12.980000000000002</v>
      </c>
      <c r="K227" s="5" t="s">
        <v>8</v>
      </c>
      <c r="L227" s="9">
        <v>0.1</v>
      </c>
      <c r="M227" s="2">
        <v>1970</v>
      </c>
      <c r="N227">
        <v>13</v>
      </c>
      <c r="O227" s="27">
        <v>13</v>
      </c>
      <c r="P227" t="s">
        <v>401</v>
      </c>
      <c r="Q227" t="s">
        <v>336</v>
      </c>
      <c r="R227" s="4" t="s">
        <v>616</v>
      </c>
      <c r="V227" t="s">
        <v>416</v>
      </c>
      <c r="W227" t="s">
        <v>416</v>
      </c>
      <c r="X227" s="10">
        <v>45877</v>
      </c>
      <c r="Y227" s="6"/>
      <c r="Z227" s="5">
        <v>0</v>
      </c>
      <c r="AA227" s="6" t="s">
        <v>619</v>
      </c>
      <c r="AB227" s="6"/>
      <c r="AC227" s="6"/>
    </row>
    <row r="228" spans="1:29" s="4" customFormat="1" x14ac:dyDescent="0.25">
      <c r="A228" s="5">
        <v>223</v>
      </c>
      <c r="D228" t="s">
        <v>408</v>
      </c>
      <c r="F228" t="s">
        <v>409</v>
      </c>
      <c r="G228" s="17">
        <v>16</v>
      </c>
      <c r="H228" s="8">
        <v>0.1</v>
      </c>
      <c r="I228" s="6"/>
      <c r="J228" s="7">
        <f t="shared" si="6"/>
        <v>17.600000000000001</v>
      </c>
      <c r="K228" s="5" t="s">
        <v>8</v>
      </c>
      <c r="L228" s="9">
        <v>0.05</v>
      </c>
      <c r="M228">
        <v>2350</v>
      </c>
      <c r="N228">
        <v>48</v>
      </c>
      <c r="P228" t="s">
        <v>401</v>
      </c>
      <c r="Q228" t="s">
        <v>336</v>
      </c>
      <c r="V228" t="s">
        <v>343</v>
      </c>
      <c r="W228" t="s">
        <v>343</v>
      </c>
      <c r="X228" s="10">
        <v>45861</v>
      </c>
      <c r="Y228" s="6"/>
      <c r="Z228" s="5">
        <v>0</v>
      </c>
      <c r="AA228" s="6" t="s">
        <v>620</v>
      </c>
      <c r="AB228" s="6"/>
      <c r="AC228" s="6"/>
    </row>
    <row r="229" spans="1:29" s="4" customFormat="1" x14ac:dyDescent="0.25">
      <c r="A229" s="5">
        <v>224</v>
      </c>
      <c r="B229" s="4" t="s">
        <v>623</v>
      </c>
      <c r="D229" t="s">
        <v>417</v>
      </c>
      <c r="F229" t="s">
        <v>418</v>
      </c>
      <c r="G229" s="17">
        <v>12.125</v>
      </c>
      <c r="H229" s="8"/>
      <c r="I229" s="6"/>
      <c r="J229" s="7">
        <f t="shared" si="6"/>
        <v>12.125</v>
      </c>
      <c r="K229" s="5" t="s">
        <v>8</v>
      </c>
      <c r="L229" s="9">
        <v>0.1</v>
      </c>
      <c r="O229">
        <v>0</v>
      </c>
      <c r="P229" t="s">
        <v>401</v>
      </c>
      <c r="Q229" t="s">
        <v>336</v>
      </c>
      <c r="R229" s="4" t="s">
        <v>616</v>
      </c>
      <c r="V229" t="s">
        <v>343</v>
      </c>
      <c r="W229" t="s">
        <v>343</v>
      </c>
      <c r="X229" s="10">
        <v>45861</v>
      </c>
      <c r="Y229" s="6"/>
      <c r="Z229" s="5">
        <v>0</v>
      </c>
      <c r="AA229" s="6" t="s">
        <v>617</v>
      </c>
      <c r="AB229" s="6"/>
      <c r="AC229" s="6"/>
    </row>
    <row r="230" spans="1:29" s="4" customFormat="1" x14ac:dyDescent="0.25">
      <c r="A230" s="5">
        <v>225</v>
      </c>
      <c r="D230" t="s">
        <v>383</v>
      </c>
      <c r="F230" t="s">
        <v>384</v>
      </c>
      <c r="G230" s="17">
        <v>63.77</v>
      </c>
      <c r="H230" s="8"/>
      <c r="I230" s="8">
        <v>0.25</v>
      </c>
      <c r="J230" s="7">
        <f t="shared" si="6"/>
        <v>47.827500000000001</v>
      </c>
      <c r="K230" s="5" t="s">
        <v>8</v>
      </c>
      <c r="L230" s="9">
        <v>0.02</v>
      </c>
      <c r="P230" t="s">
        <v>366</v>
      </c>
      <c r="Q230" t="s">
        <v>336</v>
      </c>
      <c r="V230" t="s">
        <v>343</v>
      </c>
      <c r="X230" s="10">
        <v>45861</v>
      </c>
      <c r="Y230" s="6"/>
      <c r="Z230" s="6">
        <v>0</v>
      </c>
      <c r="AA230" s="6"/>
      <c r="AB230" s="6"/>
      <c r="AC230" s="6"/>
    </row>
    <row r="231" spans="1:29" s="4" customFormat="1" x14ac:dyDescent="0.25">
      <c r="A231" s="5">
        <v>226</v>
      </c>
      <c r="D231" t="s">
        <v>381</v>
      </c>
      <c r="F231" t="s">
        <v>382</v>
      </c>
      <c r="G231" s="17">
        <v>31.67</v>
      </c>
      <c r="H231" s="8"/>
      <c r="I231" s="8">
        <v>0.25</v>
      </c>
      <c r="J231" s="7">
        <f t="shared" si="6"/>
        <v>23.752500000000001</v>
      </c>
      <c r="K231" s="5" t="s">
        <v>8</v>
      </c>
      <c r="L231" s="9">
        <v>0.02</v>
      </c>
      <c r="P231" t="s">
        <v>366</v>
      </c>
      <c r="Q231" t="s">
        <v>336</v>
      </c>
      <c r="V231" t="s">
        <v>343</v>
      </c>
      <c r="X231" s="10">
        <v>45861</v>
      </c>
      <c r="Y231" s="6"/>
      <c r="Z231" s="6">
        <v>0</v>
      </c>
      <c r="AA231" s="6"/>
      <c r="AB231" s="6"/>
      <c r="AC231" s="6"/>
    </row>
    <row r="232" spans="1:29" s="4" customFormat="1" x14ac:dyDescent="0.25">
      <c r="A232" s="5">
        <v>227</v>
      </c>
      <c r="D232" t="s">
        <v>379</v>
      </c>
      <c r="F232" t="s">
        <v>380</v>
      </c>
      <c r="G232" s="17">
        <v>17.87</v>
      </c>
      <c r="H232" s="8"/>
      <c r="I232" s="8">
        <v>0.25</v>
      </c>
      <c r="J232" s="7">
        <f t="shared" si="6"/>
        <v>13.4025</v>
      </c>
      <c r="K232" s="5" t="s">
        <v>8</v>
      </c>
      <c r="L232" s="9">
        <v>0.02</v>
      </c>
      <c r="P232" t="s">
        <v>366</v>
      </c>
      <c r="Q232" t="s">
        <v>336</v>
      </c>
      <c r="V232" t="s">
        <v>343</v>
      </c>
      <c r="X232" s="10">
        <v>45861</v>
      </c>
      <c r="Y232" s="6"/>
      <c r="Z232" s="6">
        <v>0</v>
      </c>
      <c r="AA232" s="6"/>
      <c r="AB232" s="6"/>
      <c r="AC232" s="6"/>
    </row>
    <row r="233" spans="1:29" s="4" customFormat="1" x14ac:dyDescent="0.25">
      <c r="A233" s="5">
        <v>228</v>
      </c>
      <c r="D233" t="s">
        <v>385</v>
      </c>
      <c r="F233" t="s">
        <v>386</v>
      </c>
      <c r="G233" s="17">
        <v>137.77000000000001</v>
      </c>
      <c r="H233" s="8"/>
      <c r="I233" s="8">
        <v>0.25</v>
      </c>
      <c r="J233" s="7">
        <f t="shared" si="6"/>
        <v>103.32750000000001</v>
      </c>
      <c r="K233" s="5" t="s">
        <v>8</v>
      </c>
      <c r="L233" s="9">
        <v>0.02</v>
      </c>
      <c r="P233" t="s">
        <v>366</v>
      </c>
      <c r="Q233" t="s">
        <v>336</v>
      </c>
      <c r="X233" s="10">
        <v>45861</v>
      </c>
      <c r="Y233" s="6"/>
      <c r="Z233" s="6">
        <v>0</v>
      </c>
      <c r="AA233" s="6"/>
      <c r="AB233" s="6"/>
      <c r="AC233" s="6"/>
    </row>
    <row r="234" spans="1:29" s="4" customFormat="1" x14ac:dyDescent="0.25">
      <c r="A234" s="5">
        <v>229</v>
      </c>
      <c r="C234" t="s">
        <v>100</v>
      </c>
      <c r="D234" t="s">
        <v>101</v>
      </c>
      <c r="F234" t="s">
        <v>102</v>
      </c>
      <c r="G234" s="17">
        <v>8.86</v>
      </c>
      <c r="H234" s="8">
        <v>0</v>
      </c>
      <c r="I234" s="8">
        <v>0.2</v>
      </c>
      <c r="J234" s="7">
        <f t="shared" si="6"/>
        <v>7.0880000000000001</v>
      </c>
      <c r="K234" s="5" t="s">
        <v>27</v>
      </c>
      <c r="L234" s="9">
        <v>0.2</v>
      </c>
      <c r="M234">
        <v>2850</v>
      </c>
      <c r="N234">
        <v>2100</v>
      </c>
      <c r="O234">
        <v>19</v>
      </c>
      <c r="P234" t="s">
        <v>63</v>
      </c>
      <c r="Q234" t="s">
        <v>64</v>
      </c>
      <c r="R234" t="s">
        <v>103</v>
      </c>
      <c r="S234" t="s">
        <v>66</v>
      </c>
      <c r="T234" t="s">
        <v>67</v>
      </c>
      <c r="V234" t="s">
        <v>68</v>
      </c>
      <c r="W234" t="s">
        <v>104</v>
      </c>
      <c r="X234" s="10">
        <v>45861</v>
      </c>
      <c r="Y234" s="6"/>
      <c r="Z234" s="5">
        <v>1</v>
      </c>
      <c r="AA234" s="6"/>
      <c r="AB234" s="6"/>
      <c r="AC234" s="6"/>
    </row>
    <row r="235" spans="1:29" s="4" customFormat="1" x14ac:dyDescent="0.25">
      <c r="A235" s="5">
        <v>230</v>
      </c>
      <c r="B235"/>
      <c r="C235"/>
      <c r="D235" t="s">
        <v>483</v>
      </c>
      <c r="E235"/>
      <c r="F235" t="s">
        <v>585</v>
      </c>
      <c r="G235" s="17">
        <v>0.26300000000000001</v>
      </c>
      <c r="H235" s="16">
        <v>0.1</v>
      </c>
      <c r="I235" s="16"/>
      <c r="J235" s="15">
        <f t="shared" si="6"/>
        <v>0.28930000000000006</v>
      </c>
      <c r="K235" s="6" t="s">
        <v>8</v>
      </c>
      <c r="L235" s="16">
        <v>0.02</v>
      </c>
      <c r="M235" s="2"/>
      <c r="N235"/>
      <c r="O235"/>
      <c r="P235" t="s">
        <v>336</v>
      </c>
      <c r="Q235" t="s">
        <v>336</v>
      </c>
      <c r="R235" t="s">
        <v>427</v>
      </c>
      <c r="S235"/>
      <c r="T235"/>
      <c r="U235"/>
      <c r="V235" t="s">
        <v>343</v>
      </c>
      <c r="W235" t="s">
        <v>343</v>
      </c>
      <c r="X235" s="10">
        <v>45861</v>
      </c>
      <c r="Y235" s="6"/>
      <c r="Z235" s="5">
        <v>0</v>
      </c>
      <c r="AA235" s="6"/>
      <c r="AB235" s="6"/>
      <c r="AC235" s="6"/>
    </row>
    <row r="236" spans="1:29" s="4" customFormat="1" x14ac:dyDescent="0.25">
      <c r="A236" s="5">
        <v>231</v>
      </c>
      <c r="D236" t="s">
        <v>522</v>
      </c>
      <c r="F236" t="s">
        <v>523</v>
      </c>
      <c r="G236" s="17">
        <v>0.99</v>
      </c>
      <c r="H236" s="8"/>
      <c r="I236" s="8">
        <v>0.2</v>
      </c>
      <c r="J236" s="7">
        <f t="shared" si="6"/>
        <v>0.79200000000000004</v>
      </c>
      <c r="K236" s="5" t="s">
        <v>8</v>
      </c>
      <c r="L236" s="9">
        <v>0.02</v>
      </c>
      <c r="O236">
        <v>0</v>
      </c>
      <c r="P236" t="s">
        <v>510</v>
      </c>
      <c r="Q236" t="s">
        <v>336</v>
      </c>
      <c r="V236" t="s">
        <v>343</v>
      </c>
      <c r="W236" t="s">
        <v>343</v>
      </c>
      <c r="X236" s="10">
        <v>45861</v>
      </c>
      <c r="Y236" s="6"/>
      <c r="Z236" s="5">
        <v>0</v>
      </c>
      <c r="AA236" s="6"/>
      <c r="AB236" s="6"/>
      <c r="AC236" s="6"/>
    </row>
    <row r="237" spans="1:29" s="4" customFormat="1" x14ac:dyDescent="0.25">
      <c r="A237" s="5">
        <v>232</v>
      </c>
      <c r="D237" t="s">
        <v>520</v>
      </c>
      <c r="F237" t="s">
        <v>521</v>
      </c>
      <c r="G237" s="17">
        <v>0.42</v>
      </c>
      <c r="H237" s="8"/>
      <c r="I237" s="6"/>
      <c r="J237" s="7">
        <f t="shared" si="6"/>
        <v>0.42</v>
      </c>
      <c r="K237" s="5" t="s">
        <v>8</v>
      </c>
      <c r="L237" s="9">
        <v>0.05</v>
      </c>
      <c r="O237">
        <v>0</v>
      </c>
      <c r="P237" t="s">
        <v>510</v>
      </c>
      <c r="Q237" t="s">
        <v>336</v>
      </c>
      <c r="V237" t="s">
        <v>343</v>
      </c>
      <c r="W237" t="s">
        <v>343</v>
      </c>
      <c r="X237" s="10">
        <v>45861</v>
      </c>
      <c r="Y237" s="6"/>
      <c r="Z237" s="5">
        <v>0</v>
      </c>
      <c r="AA237" s="6"/>
      <c r="AB237" s="6"/>
      <c r="AC237" s="6"/>
    </row>
    <row r="238" spans="1:29" s="4" customFormat="1" x14ac:dyDescent="0.25">
      <c r="A238" s="5">
        <v>233</v>
      </c>
      <c r="D238" t="s">
        <v>508</v>
      </c>
      <c r="F238" t="s">
        <v>509</v>
      </c>
      <c r="G238" s="17">
        <v>0.25</v>
      </c>
      <c r="H238" s="8"/>
      <c r="I238" s="6"/>
      <c r="J238" s="7">
        <f t="shared" si="6"/>
        <v>0.25</v>
      </c>
      <c r="K238" s="5" t="s">
        <v>8</v>
      </c>
      <c r="L238" s="9">
        <v>0.05</v>
      </c>
      <c r="O238">
        <v>0</v>
      </c>
      <c r="P238" t="s">
        <v>513</v>
      </c>
      <c r="Q238" t="s">
        <v>336</v>
      </c>
      <c r="V238" t="s">
        <v>343</v>
      </c>
      <c r="W238" t="s">
        <v>343</v>
      </c>
      <c r="X238" s="10">
        <v>45861</v>
      </c>
      <c r="Y238" s="6"/>
      <c r="Z238" s="5">
        <v>0</v>
      </c>
      <c r="AA238" s="6"/>
      <c r="AB238" s="6"/>
      <c r="AC238" s="6"/>
    </row>
    <row r="239" spans="1:29" s="4" customFormat="1" x14ac:dyDescent="0.25">
      <c r="A239" s="5">
        <v>234</v>
      </c>
      <c r="D239" t="s">
        <v>511</v>
      </c>
      <c r="F239" t="s">
        <v>512</v>
      </c>
      <c r="G239" s="17">
        <v>0.05</v>
      </c>
      <c r="H239" s="8"/>
      <c r="I239" s="6"/>
      <c r="J239" s="7">
        <f t="shared" si="6"/>
        <v>0.05</v>
      </c>
      <c r="K239" s="5" t="s">
        <v>8</v>
      </c>
      <c r="L239" s="9">
        <v>0.05</v>
      </c>
      <c r="O239">
        <v>5</v>
      </c>
      <c r="P239" t="s">
        <v>513</v>
      </c>
      <c r="Q239" t="s">
        <v>336</v>
      </c>
      <c r="V239" t="s">
        <v>343</v>
      </c>
      <c r="W239" t="s">
        <v>343</v>
      </c>
      <c r="X239" s="10">
        <v>45861</v>
      </c>
      <c r="Y239" s="6"/>
      <c r="Z239" s="5">
        <v>0</v>
      </c>
      <c r="AA239" s="6"/>
      <c r="AB239" s="6"/>
      <c r="AC239" s="6"/>
    </row>
    <row r="240" spans="1:29" s="4" customFormat="1" x14ac:dyDescent="0.25">
      <c r="A240" s="5">
        <v>235</v>
      </c>
      <c r="D240" t="s">
        <v>514</v>
      </c>
      <c r="F240" t="s">
        <v>515</v>
      </c>
      <c r="G240" s="17">
        <v>8.5</v>
      </c>
      <c r="H240" s="8"/>
      <c r="I240" s="6"/>
      <c r="J240" s="7">
        <f t="shared" si="6"/>
        <v>8.5</v>
      </c>
      <c r="K240" s="5" t="s">
        <v>8</v>
      </c>
      <c r="L240" s="9">
        <v>0.05</v>
      </c>
      <c r="O240">
        <v>0</v>
      </c>
      <c r="P240" t="s">
        <v>510</v>
      </c>
      <c r="Q240" t="s">
        <v>336</v>
      </c>
      <c r="V240" t="s">
        <v>516</v>
      </c>
      <c r="W240" t="s">
        <v>517</v>
      </c>
      <c r="X240" s="10">
        <v>45861</v>
      </c>
      <c r="Y240" s="6"/>
      <c r="Z240" s="5">
        <v>0</v>
      </c>
      <c r="AA240" s="6"/>
      <c r="AB240" s="6"/>
      <c r="AC240" s="6"/>
    </row>
    <row r="241" spans="1:29" s="4" customFormat="1" x14ac:dyDescent="0.25">
      <c r="A241" s="5">
        <v>236</v>
      </c>
      <c r="D241" t="s">
        <v>518</v>
      </c>
      <c r="F241" t="s">
        <v>519</v>
      </c>
      <c r="G241" s="17">
        <v>0.09</v>
      </c>
      <c r="H241" s="8">
        <v>0.15</v>
      </c>
      <c r="I241" s="8"/>
      <c r="J241" s="7">
        <f t="shared" si="6"/>
        <v>0.10349999999999999</v>
      </c>
      <c r="K241" s="5" t="s">
        <v>8</v>
      </c>
      <c r="L241" s="9">
        <v>0.04</v>
      </c>
      <c r="O241">
        <v>0</v>
      </c>
      <c r="P241" t="s">
        <v>510</v>
      </c>
      <c r="Q241" t="s">
        <v>336</v>
      </c>
      <c r="V241" t="s">
        <v>343</v>
      </c>
      <c r="W241" t="s">
        <v>343</v>
      </c>
      <c r="X241" s="10">
        <v>45861</v>
      </c>
      <c r="Y241" s="6"/>
      <c r="Z241" s="5">
        <v>0</v>
      </c>
      <c r="AA241" s="6"/>
      <c r="AB241" s="6"/>
      <c r="AC241" s="6"/>
    </row>
    <row r="242" spans="1:29" s="4" customFormat="1" x14ac:dyDescent="0.25">
      <c r="A242" s="5">
        <v>237</v>
      </c>
      <c r="D242" t="s">
        <v>543</v>
      </c>
      <c r="F242" t="s">
        <v>544</v>
      </c>
      <c r="G242" s="17">
        <v>1</v>
      </c>
      <c r="H242" s="8"/>
      <c r="I242" s="8">
        <v>0.25</v>
      </c>
      <c r="J242" s="7">
        <f t="shared" si="6"/>
        <v>0.75</v>
      </c>
      <c r="K242" s="5" t="s">
        <v>8</v>
      </c>
      <c r="L242" s="9">
        <v>0.05</v>
      </c>
      <c r="P242" t="s">
        <v>475</v>
      </c>
      <c r="Q242" t="s">
        <v>336</v>
      </c>
      <c r="V242" t="s">
        <v>407</v>
      </c>
      <c r="W242" t="s">
        <v>407</v>
      </c>
      <c r="X242" s="10">
        <v>45861</v>
      </c>
      <c r="Y242" s="6"/>
      <c r="Z242" s="5">
        <v>0</v>
      </c>
      <c r="AA242" s="6"/>
      <c r="AB242" s="6"/>
      <c r="AC242" s="6"/>
    </row>
    <row r="243" spans="1:29" s="4" customFormat="1" x14ac:dyDescent="0.25">
      <c r="A243" s="5">
        <v>238</v>
      </c>
      <c r="D243" t="s">
        <v>421</v>
      </c>
      <c r="F243" t="s">
        <v>422</v>
      </c>
      <c r="G243" s="17">
        <v>33</v>
      </c>
      <c r="H243" s="8"/>
      <c r="I243" s="6"/>
      <c r="J243" s="7">
        <f t="shared" si="6"/>
        <v>33</v>
      </c>
      <c r="K243" s="5" t="s">
        <v>8</v>
      </c>
      <c r="L243" s="9">
        <v>0.05</v>
      </c>
      <c r="O243">
        <v>0</v>
      </c>
      <c r="P243" t="s">
        <v>401</v>
      </c>
      <c r="Q243" t="s">
        <v>336</v>
      </c>
      <c r="V243" t="s">
        <v>343</v>
      </c>
      <c r="W243" t="s">
        <v>343</v>
      </c>
      <c r="X243" s="10">
        <v>45861</v>
      </c>
      <c r="Y243" s="6"/>
      <c r="Z243" s="5">
        <v>0</v>
      </c>
      <c r="AA243" s="6"/>
      <c r="AB243" s="6"/>
      <c r="AC243" s="6"/>
    </row>
    <row r="244" spans="1:29" s="4" customFormat="1" x14ac:dyDescent="0.25">
      <c r="A244" s="5">
        <v>239</v>
      </c>
      <c r="D244" t="s">
        <v>419</v>
      </c>
      <c r="F244" t="s">
        <v>420</v>
      </c>
      <c r="G244" s="17">
        <v>15</v>
      </c>
      <c r="H244" s="8"/>
      <c r="I244" s="6"/>
      <c r="J244" s="7">
        <f t="shared" si="6"/>
        <v>15</v>
      </c>
      <c r="K244" s="5" t="s">
        <v>8</v>
      </c>
      <c r="L244" s="9">
        <v>0.05</v>
      </c>
      <c r="P244" t="s">
        <v>401</v>
      </c>
      <c r="Q244" t="s">
        <v>336</v>
      </c>
      <c r="V244" t="s">
        <v>416</v>
      </c>
      <c r="W244" t="s">
        <v>416</v>
      </c>
      <c r="X244" s="10">
        <v>45861</v>
      </c>
      <c r="Y244" s="6"/>
      <c r="Z244" s="5">
        <v>0</v>
      </c>
      <c r="AA244" s="6"/>
      <c r="AB244" s="6"/>
      <c r="AC244" s="6"/>
    </row>
    <row r="245" spans="1:29" s="4" customFormat="1" x14ac:dyDescent="0.25">
      <c r="A245" s="5">
        <v>240</v>
      </c>
      <c r="D245" t="s">
        <v>423</v>
      </c>
      <c r="F245" t="s">
        <v>424</v>
      </c>
      <c r="G245" s="17">
        <v>22.5</v>
      </c>
      <c r="H245" s="8"/>
      <c r="I245" s="6"/>
      <c r="J245" s="7">
        <f t="shared" si="6"/>
        <v>22.5</v>
      </c>
      <c r="K245" s="5" t="s">
        <v>8</v>
      </c>
      <c r="L245" s="9">
        <v>0.05</v>
      </c>
      <c r="O245">
        <v>0</v>
      </c>
      <c r="P245" t="s">
        <v>401</v>
      </c>
      <c r="Q245" t="s">
        <v>336</v>
      </c>
      <c r="V245" t="s">
        <v>343</v>
      </c>
      <c r="W245" t="s">
        <v>343</v>
      </c>
      <c r="X245" s="10">
        <v>45861</v>
      </c>
      <c r="Y245" s="6"/>
      <c r="Z245" s="5">
        <v>0</v>
      </c>
      <c r="AA245" s="6"/>
      <c r="AB245" s="6"/>
      <c r="AC245" s="6"/>
    </row>
    <row r="246" spans="1:29" s="4" customFormat="1" x14ac:dyDescent="0.25">
      <c r="A246" s="5">
        <v>241</v>
      </c>
      <c r="D246" t="s">
        <v>527</v>
      </c>
      <c r="F246" t="s">
        <v>528</v>
      </c>
      <c r="G246" s="17">
        <v>1.2</v>
      </c>
      <c r="H246" s="8">
        <v>0.1</v>
      </c>
      <c r="I246" s="6"/>
      <c r="J246" s="7">
        <f t="shared" si="6"/>
        <v>1.32</v>
      </c>
      <c r="K246" s="5" t="s">
        <v>55</v>
      </c>
      <c r="L246" s="9">
        <v>0.15</v>
      </c>
      <c r="M246">
        <v>6000</v>
      </c>
      <c r="N246">
        <v>25</v>
      </c>
      <c r="O246">
        <v>14</v>
      </c>
      <c r="P246" t="s">
        <v>526</v>
      </c>
      <c r="Q246" t="s">
        <v>336</v>
      </c>
      <c r="R246" t="s">
        <v>595</v>
      </c>
      <c r="V246" t="s">
        <v>343</v>
      </c>
      <c r="W246" t="s">
        <v>343</v>
      </c>
      <c r="X246" s="10">
        <v>45861</v>
      </c>
      <c r="Y246" s="6"/>
      <c r="Z246" s="5">
        <v>0</v>
      </c>
      <c r="AA246" s="6"/>
      <c r="AB246" s="6"/>
      <c r="AC246" s="6"/>
    </row>
    <row r="247" spans="1:29" s="4" customFormat="1" x14ac:dyDescent="0.25">
      <c r="A247" s="5">
        <v>242</v>
      </c>
      <c r="D247" t="s">
        <v>524</v>
      </c>
      <c r="F247" t="s">
        <v>525</v>
      </c>
      <c r="G247" s="17">
        <v>2.81</v>
      </c>
      <c r="H247" s="8">
        <v>0.1</v>
      </c>
      <c r="I247" s="6"/>
      <c r="J247" s="7">
        <f t="shared" si="6"/>
        <v>3.0910000000000002</v>
      </c>
      <c r="K247" s="5" t="s">
        <v>55</v>
      </c>
      <c r="L247" s="9">
        <v>0.15</v>
      </c>
      <c r="M247">
        <v>2350</v>
      </c>
      <c r="N247">
        <v>28</v>
      </c>
      <c r="O247">
        <v>28</v>
      </c>
      <c r="P247" t="s">
        <v>526</v>
      </c>
      <c r="Q247" t="s">
        <v>336</v>
      </c>
      <c r="R247" t="s">
        <v>429</v>
      </c>
      <c r="V247" t="s">
        <v>343</v>
      </c>
      <c r="W247" t="s">
        <v>343</v>
      </c>
      <c r="X247" s="10">
        <v>45861</v>
      </c>
      <c r="Y247" s="6"/>
      <c r="Z247" s="5">
        <v>0</v>
      </c>
      <c r="AA247" s="6"/>
      <c r="AB247" s="6"/>
      <c r="AC247" s="6"/>
    </row>
    <row r="248" spans="1:29" s="4" customFormat="1" x14ac:dyDescent="0.25">
      <c r="A248" s="5">
        <v>243</v>
      </c>
      <c r="D248" t="s">
        <v>529</v>
      </c>
      <c r="F248" t="s">
        <v>530</v>
      </c>
      <c r="G248" s="17">
        <v>13.43</v>
      </c>
      <c r="H248" s="8"/>
      <c r="I248" s="8">
        <v>0.1</v>
      </c>
      <c r="J248" s="7">
        <f t="shared" si="6"/>
        <v>12.087</v>
      </c>
      <c r="K248" s="5" t="s">
        <v>8</v>
      </c>
      <c r="L248" s="9">
        <v>0.02</v>
      </c>
      <c r="M248">
        <v>400</v>
      </c>
      <c r="O248">
        <v>0</v>
      </c>
      <c r="P248" t="s">
        <v>336</v>
      </c>
      <c r="Q248" t="s">
        <v>336</v>
      </c>
      <c r="R248" t="s">
        <v>429</v>
      </c>
      <c r="V248" t="s">
        <v>343</v>
      </c>
      <c r="W248" t="s">
        <v>343</v>
      </c>
      <c r="X248" s="10">
        <v>45861</v>
      </c>
      <c r="Y248" s="6"/>
      <c r="Z248" s="5">
        <v>0</v>
      </c>
      <c r="AA248" s="6"/>
      <c r="AB248" s="6"/>
      <c r="AC248" s="6"/>
    </row>
    <row r="249" spans="1:29" s="4" customFormat="1" x14ac:dyDescent="0.25">
      <c r="A249" s="5">
        <v>244</v>
      </c>
      <c r="D249" t="s">
        <v>45</v>
      </c>
      <c r="F249" t="s">
        <v>46</v>
      </c>
      <c r="G249" s="17">
        <v>26</v>
      </c>
      <c r="H249" s="8"/>
      <c r="I249" s="6"/>
      <c r="J249" s="7">
        <f t="shared" si="6"/>
        <v>26</v>
      </c>
      <c r="K249" s="5" t="s">
        <v>27</v>
      </c>
      <c r="L249" s="9">
        <v>0.01</v>
      </c>
      <c r="O249">
        <v>0</v>
      </c>
      <c r="P249" t="s">
        <v>32</v>
      </c>
      <c r="Q249" t="s">
        <v>29</v>
      </c>
      <c r="X249" s="10">
        <v>45861</v>
      </c>
      <c r="Y249" s="6"/>
      <c r="Z249" s="5">
        <v>0</v>
      </c>
      <c r="AA249" s="6"/>
      <c r="AB249" s="6"/>
      <c r="AC249" s="6"/>
    </row>
    <row r="250" spans="1:29" s="4" customFormat="1" x14ac:dyDescent="0.25">
      <c r="A250" s="5">
        <v>245</v>
      </c>
      <c r="D250" t="s">
        <v>47</v>
      </c>
      <c r="F250" t="s">
        <v>48</v>
      </c>
      <c r="G250" s="17">
        <v>42</v>
      </c>
      <c r="H250" s="8"/>
      <c r="I250" s="6"/>
      <c r="J250" s="7">
        <f t="shared" si="6"/>
        <v>42</v>
      </c>
      <c r="K250" s="5" t="s">
        <v>27</v>
      </c>
      <c r="L250" s="9">
        <v>0.01</v>
      </c>
      <c r="O250">
        <v>0</v>
      </c>
      <c r="P250" t="s">
        <v>32</v>
      </c>
      <c r="Q250" t="s">
        <v>29</v>
      </c>
      <c r="X250" s="10">
        <v>45861</v>
      </c>
      <c r="Y250" s="6"/>
      <c r="Z250" s="5">
        <v>0</v>
      </c>
      <c r="AA250" s="6"/>
      <c r="AB250" s="6"/>
      <c r="AC250" s="6"/>
    </row>
    <row r="251" spans="1:29" s="4" customFormat="1" x14ac:dyDescent="0.25">
      <c r="A251" s="5">
        <v>246</v>
      </c>
      <c r="D251" t="s">
        <v>49</v>
      </c>
      <c r="F251" t="s">
        <v>50</v>
      </c>
      <c r="G251" s="17">
        <v>32</v>
      </c>
      <c r="H251" s="8"/>
      <c r="I251" s="6"/>
      <c r="J251" s="7">
        <f t="shared" si="6"/>
        <v>32</v>
      </c>
      <c r="K251" s="5" t="s">
        <v>27</v>
      </c>
      <c r="L251" s="9">
        <v>0.01</v>
      </c>
      <c r="O251">
        <v>0</v>
      </c>
      <c r="P251" t="s">
        <v>32</v>
      </c>
      <c r="Q251" t="s">
        <v>29</v>
      </c>
      <c r="X251" s="10">
        <v>45861</v>
      </c>
      <c r="Y251" s="6"/>
      <c r="Z251" s="5">
        <v>0</v>
      </c>
      <c r="AA251" s="6"/>
      <c r="AB251" s="6"/>
      <c r="AC251" s="6"/>
    </row>
    <row r="252" spans="1:29" s="4" customFormat="1" x14ac:dyDescent="0.25">
      <c r="A252" s="5">
        <v>247</v>
      </c>
      <c r="D252" t="s">
        <v>51</v>
      </c>
      <c r="F252" t="s">
        <v>52</v>
      </c>
      <c r="G252" s="17">
        <v>48</v>
      </c>
      <c r="H252" s="8"/>
      <c r="I252" s="6"/>
      <c r="J252" s="7">
        <f t="shared" si="6"/>
        <v>48</v>
      </c>
      <c r="K252" s="5" t="s">
        <v>27</v>
      </c>
      <c r="L252" s="9">
        <v>0.01</v>
      </c>
      <c r="O252">
        <v>0</v>
      </c>
      <c r="P252" t="s">
        <v>32</v>
      </c>
      <c r="Q252" t="s">
        <v>29</v>
      </c>
      <c r="X252" s="10">
        <v>45861</v>
      </c>
      <c r="Y252" s="6"/>
      <c r="Z252" s="5">
        <v>0</v>
      </c>
      <c r="AA252" s="6"/>
      <c r="AB252" s="6"/>
      <c r="AC252" s="6"/>
    </row>
    <row r="253" spans="1:29" s="4" customFormat="1" x14ac:dyDescent="0.25">
      <c r="A253" s="5">
        <v>248</v>
      </c>
      <c r="D253" t="s">
        <v>37</v>
      </c>
      <c r="F253" t="s">
        <v>38</v>
      </c>
      <c r="G253" s="17">
        <v>16</v>
      </c>
      <c r="H253" s="8"/>
      <c r="I253" s="6"/>
      <c r="J253" s="7">
        <f t="shared" si="6"/>
        <v>16</v>
      </c>
      <c r="K253" s="5" t="s">
        <v>27</v>
      </c>
      <c r="L253" s="9">
        <v>0.01</v>
      </c>
      <c r="O253">
        <v>0</v>
      </c>
      <c r="P253" t="s">
        <v>32</v>
      </c>
      <c r="Q253" t="s">
        <v>29</v>
      </c>
      <c r="X253" s="10">
        <v>45861</v>
      </c>
      <c r="Y253" s="6"/>
      <c r="Z253" s="5">
        <v>0</v>
      </c>
      <c r="AA253" s="6"/>
      <c r="AB253" s="6"/>
      <c r="AC253" s="6"/>
    </row>
    <row r="254" spans="1:29" s="4" customFormat="1" x14ac:dyDescent="0.25">
      <c r="A254" s="5">
        <v>249</v>
      </c>
      <c r="D254" t="s">
        <v>39</v>
      </c>
      <c r="F254" t="s">
        <v>40</v>
      </c>
      <c r="G254" s="17">
        <v>22</v>
      </c>
      <c r="H254" s="8"/>
      <c r="I254" s="6"/>
      <c r="J254" s="7">
        <f t="shared" si="6"/>
        <v>22</v>
      </c>
      <c r="K254" s="5" t="s">
        <v>27</v>
      </c>
      <c r="L254" s="9">
        <v>0.01</v>
      </c>
      <c r="O254">
        <v>0</v>
      </c>
      <c r="P254" t="s">
        <v>32</v>
      </c>
      <c r="Q254" t="s">
        <v>29</v>
      </c>
      <c r="X254" s="10">
        <v>45861</v>
      </c>
      <c r="Y254" s="6"/>
      <c r="Z254" s="5">
        <v>0</v>
      </c>
      <c r="AA254" s="6"/>
      <c r="AB254" s="6"/>
      <c r="AC254" s="6"/>
    </row>
    <row r="255" spans="1:29" s="4" customFormat="1" x14ac:dyDescent="0.25">
      <c r="A255" s="5">
        <v>250</v>
      </c>
      <c r="D255" t="s">
        <v>41</v>
      </c>
      <c r="F255" t="s">
        <v>42</v>
      </c>
      <c r="G255" s="17">
        <v>22</v>
      </c>
      <c r="H255" s="8"/>
      <c r="I255" s="6"/>
      <c r="J255" s="7">
        <f t="shared" si="6"/>
        <v>22</v>
      </c>
      <c r="K255" s="5" t="s">
        <v>27</v>
      </c>
      <c r="L255" s="9">
        <v>0.01</v>
      </c>
      <c r="O255">
        <v>0</v>
      </c>
      <c r="P255" t="s">
        <v>32</v>
      </c>
      <c r="Q255" t="s">
        <v>29</v>
      </c>
      <c r="X255" s="10">
        <v>45861</v>
      </c>
      <c r="Y255" s="6"/>
      <c r="Z255" s="5">
        <v>0</v>
      </c>
      <c r="AA255" s="6"/>
      <c r="AB255" s="6"/>
      <c r="AC255" s="6"/>
    </row>
    <row r="256" spans="1:29" s="4" customFormat="1" x14ac:dyDescent="0.25">
      <c r="A256" s="5">
        <v>251</v>
      </c>
      <c r="D256" t="s">
        <v>43</v>
      </c>
      <c r="F256" t="s">
        <v>44</v>
      </c>
      <c r="G256" s="17">
        <v>32</v>
      </c>
      <c r="H256" s="8"/>
      <c r="I256" s="6"/>
      <c r="J256" s="7">
        <f t="shared" si="6"/>
        <v>32</v>
      </c>
      <c r="K256" s="5" t="s">
        <v>27</v>
      </c>
      <c r="L256" s="9">
        <v>0.01</v>
      </c>
      <c r="O256">
        <v>0</v>
      </c>
      <c r="P256" t="s">
        <v>32</v>
      </c>
      <c r="Q256" t="s">
        <v>29</v>
      </c>
      <c r="X256" s="10">
        <v>45861</v>
      </c>
      <c r="Y256" s="6"/>
      <c r="Z256" s="5">
        <v>0</v>
      </c>
      <c r="AA256" s="6"/>
      <c r="AB256" s="6"/>
      <c r="AC256" s="6"/>
    </row>
    <row r="257" spans="1:29" s="4" customFormat="1" x14ac:dyDescent="0.25">
      <c r="A257" s="5">
        <v>252</v>
      </c>
      <c r="D257" t="s">
        <v>498</v>
      </c>
      <c r="F257" t="s">
        <v>499</v>
      </c>
      <c r="G257" s="17">
        <v>50</v>
      </c>
      <c r="H257" s="8"/>
      <c r="I257" s="6"/>
      <c r="J257" s="7">
        <f t="shared" si="6"/>
        <v>50</v>
      </c>
      <c r="K257" s="5" t="s">
        <v>27</v>
      </c>
      <c r="L257" s="9">
        <v>0.1</v>
      </c>
      <c r="O257">
        <v>10</v>
      </c>
      <c r="P257" t="s">
        <v>490</v>
      </c>
      <c r="Q257" t="s">
        <v>336</v>
      </c>
      <c r="V257" t="s">
        <v>491</v>
      </c>
      <c r="X257" s="10">
        <v>45861</v>
      </c>
      <c r="Y257" s="6"/>
      <c r="Z257" s="5">
        <v>0</v>
      </c>
      <c r="AA257" s="6"/>
      <c r="AB257" s="6"/>
      <c r="AC257" s="6"/>
    </row>
    <row r="258" spans="1:29" s="4" customFormat="1" x14ac:dyDescent="0.25">
      <c r="A258" s="5">
        <v>253</v>
      </c>
      <c r="D258" t="s">
        <v>496</v>
      </c>
      <c r="F258" t="s">
        <v>497</v>
      </c>
      <c r="G258" s="17">
        <v>30.6</v>
      </c>
      <c r="H258" s="8"/>
      <c r="I258" s="6"/>
      <c r="J258" s="7">
        <f t="shared" si="6"/>
        <v>30.6</v>
      </c>
      <c r="K258" s="5" t="s">
        <v>27</v>
      </c>
      <c r="L258" s="9">
        <v>0.1</v>
      </c>
      <c r="O258">
        <v>6</v>
      </c>
      <c r="P258" t="s">
        <v>490</v>
      </c>
      <c r="Q258" t="s">
        <v>336</v>
      </c>
      <c r="V258" t="s">
        <v>491</v>
      </c>
      <c r="X258" s="10">
        <v>45861</v>
      </c>
      <c r="Y258" s="6"/>
      <c r="Z258" s="5">
        <v>0</v>
      </c>
      <c r="AA258" s="6"/>
      <c r="AB258" s="6"/>
      <c r="AC258" s="6"/>
    </row>
    <row r="259" spans="1:29" s="4" customFormat="1" x14ac:dyDescent="0.25">
      <c r="A259" s="5">
        <v>254</v>
      </c>
      <c r="D259" t="s">
        <v>492</v>
      </c>
      <c r="F259" t="s">
        <v>493</v>
      </c>
      <c r="G259" s="17">
        <v>20.2</v>
      </c>
      <c r="H259" s="8"/>
      <c r="I259" s="6"/>
      <c r="J259" s="7">
        <f t="shared" si="6"/>
        <v>20.2</v>
      </c>
      <c r="K259" s="5" t="s">
        <v>27</v>
      </c>
      <c r="L259" s="9">
        <v>0.1</v>
      </c>
      <c r="O259">
        <v>6</v>
      </c>
      <c r="P259" t="s">
        <v>490</v>
      </c>
      <c r="Q259" t="s">
        <v>336</v>
      </c>
      <c r="V259" t="s">
        <v>491</v>
      </c>
      <c r="X259" s="10">
        <v>45861</v>
      </c>
      <c r="Y259" s="6"/>
      <c r="Z259" s="5">
        <v>0</v>
      </c>
      <c r="AA259" s="6"/>
      <c r="AB259" s="6"/>
      <c r="AC259" s="6"/>
    </row>
    <row r="260" spans="1:29" s="4" customFormat="1" x14ac:dyDescent="0.25">
      <c r="A260" s="5">
        <v>255</v>
      </c>
      <c r="D260" t="s">
        <v>494</v>
      </c>
      <c r="F260" t="s">
        <v>495</v>
      </c>
      <c r="G260" s="17">
        <v>29</v>
      </c>
      <c r="H260" s="8"/>
      <c r="I260" s="6"/>
      <c r="J260" s="7">
        <f t="shared" si="6"/>
        <v>29</v>
      </c>
      <c r="K260" s="5" t="s">
        <v>27</v>
      </c>
      <c r="L260" s="9">
        <v>0.1</v>
      </c>
      <c r="O260">
        <v>8</v>
      </c>
      <c r="P260" t="s">
        <v>490</v>
      </c>
      <c r="Q260" t="s">
        <v>336</v>
      </c>
      <c r="V260" t="s">
        <v>491</v>
      </c>
      <c r="X260" s="10">
        <v>45861</v>
      </c>
      <c r="Y260" s="6"/>
      <c r="Z260" s="5">
        <v>0</v>
      </c>
      <c r="AA260" s="6"/>
      <c r="AB260" s="6"/>
      <c r="AC260" s="6"/>
    </row>
    <row r="261" spans="1:29" s="4" customFormat="1" x14ac:dyDescent="0.25">
      <c r="A261" s="5">
        <v>256</v>
      </c>
      <c r="D261" t="s">
        <v>504</v>
      </c>
      <c r="F261" t="s">
        <v>505</v>
      </c>
      <c r="G261" s="17">
        <v>40</v>
      </c>
      <c r="H261" s="8"/>
      <c r="I261" s="6"/>
      <c r="J261" s="7">
        <f t="shared" si="6"/>
        <v>40</v>
      </c>
      <c r="K261" s="5" t="s">
        <v>27</v>
      </c>
      <c r="L261" s="9">
        <v>0.1</v>
      </c>
      <c r="O261">
        <v>4</v>
      </c>
      <c r="P261" t="s">
        <v>490</v>
      </c>
      <c r="Q261" t="s">
        <v>336</v>
      </c>
      <c r="V261" t="s">
        <v>491</v>
      </c>
      <c r="X261" s="10">
        <v>45861</v>
      </c>
      <c r="Y261" s="6"/>
      <c r="Z261" s="5">
        <v>0</v>
      </c>
      <c r="AA261" s="6"/>
      <c r="AB261" s="6"/>
      <c r="AC261" s="6"/>
    </row>
    <row r="262" spans="1:29" s="4" customFormat="1" x14ac:dyDescent="0.25">
      <c r="A262" s="5">
        <v>257</v>
      </c>
      <c r="D262" t="s">
        <v>500</v>
      </c>
      <c r="F262" t="s">
        <v>501</v>
      </c>
      <c r="G262" s="17">
        <v>20.2</v>
      </c>
      <c r="H262" s="8"/>
      <c r="I262" s="6"/>
      <c r="J262" s="7">
        <f t="shared" si="6"/>
        <v>20.2</v>
      </c>
      <c r="K262" s="5" t="s">
        <v>27</v>
      </c>
      <c r="L262" s="9">
        <v>0.1</v>
      </c>
      <c r="O262">
        <v>6</v>
      </c>
      <c r="P262" t="s">
        <v>490</v>
      </c>
      <c r="Q262" t="s">
        <v>336</v>
      </c>
      <c r="V262" t="s">
        <v>491</v>
      </c>
      <c r="X262" s="10">
        <v>45861</v>
      </c>
      <c r="Y262" s="6"/>
      <c r="Z262" s="5">
        <v>0</v>
      </c>
      <c r="AA262" s="6"/>
      <c r="AB262" s="6"/>
      <c r="AC262" s="6"/>
    </row>
    <row r="263" spans="1:29" s="4" customFormat="1" x14ac:dyDescent="0.25">
      <c r="A263" s="5">
        <v>258</v>
      </c>
      <c r="D263" t="s">
        <v>502</v>
      </c>
      <c r="F263" t="s">
        <v>503</v>
      </c>
      <c r="G263" s="17">
        <v>29</v>
      </c>
      <c r="H263" s="8"/>
      <c r="I263" s="6"/>
      <c r="J263" s="7">
        <f t="shared" si="6"/>
        <v>29</v>
      </c>
      <c r="K263" s="5" t="s">
        <v>27</v>
      </c>
      <c r="L263" s="9">
        <v>0.1</v>
      </c>
      <c r="O263">
        <v>6</v>
      </c>
      <c r="P263" t="s">
        <v>490</v>
      </c>
      <c r="Q263" t="s">
        <v>336</v>
      </c>
      <c r="V263" t="s">
        <v>491</v>
      </c>
      <c r="X263" s="10">
        <v>45861</v>
      </c>
      <c r="Y263" s="6"/>
      <c r="Z263" s="5">
        <v>0</v>
      </c>
      <c r="AA263" s="6"/>
      <c r="AB263" s="6"/>
      <c r="AC263" s="6"/>
    </row>
    <row r="264" spans="1:29" s="4" customFormat="1" x14ac:dyDescent="0.25">
      <c r="A264" s="5">
        <v>259</v>
      </c>
      <c r="B264" s="3"/>
      <c r="C264" s="3"/>
      <c r="D264" s="3"/>
      <c r="E264" s="3"/>
      <c r="F264" s="3"/>
      <c r="G264" s="23"/>
      <c r="H264" s="12"/>
      <c r="I264" s="12"/>
      <c r="J264" s="11"/>
      <c r="K264" s="6"/>
      <c r="L264" s="1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10">
        <v>45861</v>
      </c>
      <c r="Y264" s="6"/>
      <c r="Z264" s="6">
        <v>0</v>
      </c>
      <c r="AA264" s="6"/>
      <c r="AB264" s="6"/>
      <c r="AC264" s="6"/>
    </row>
    <row r="265" spans="1:29" s="4" customFormat="1" x14ac:dyDescent="0.25">
      <c r="A265" s="5">
        <v>260</v>
      </c>
      <c r="B265" s="3"/>
      <c r="C265" s="3"/>
      <c r="D265" s="3"/>
      <c r="E265" s="3"/>
      <c r="F265" s="3"/>
      <c r="G265" s="23"/>
      <c r="H265" s="12"/>
      <c r="I265" s="12"/>
      <c r="J265" s="11"/>
      <c r="K265" s="6"/>
      <c r="L265" s="1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10">
        <v>45861</v>
      </c>
      <c r="Y265" s="6"/>
      <c r="Z265" s="6">
        <v>0</v>
      </c>
      <c r="AA265" s="6"/>
      <c r="AB265" s="6"/>
      <c r="AC265" s="6"/>
    </row>
    <row r="266" spans="1:29" s="4" customFormat="1" x14ac:dyDescent="0.25">
      <c r="A266" s="5">
        <v>261</v>
      </c>
      <c r="B266" s="3"/>
      <c r="C266" s="3"/>
      <c r="D266" s="3"/>
      <c r="E266" s="3"/>
      <c r="F266" s="3"/>
      <c r="G266" s="23"/>
      <c r="H266" s="12"/>
      <c r="I266" s="12"/>
      <c r="J266" s="11"/>
      <c r="K266" s="14"/>
      <c r="L266" s="1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10">
        <v>45861</v>
      </c>
      <c r="Y266" s="6"/>
      <c r="Z266" s="14">
        <v>0</v>
      </c>
      <c r="AA266" s="6"/>
      <c r="AB266" s="6"/>
      <c r="AC266" s="6"/>
    </row>
    <row r="267" spans="1:29" x14ac:dyDescent="0.25">
      <c r="A267">
        <v>262</v>
      </c>
      <c r="H267" s="18"/>
      <c r="I267" s="18"/>
      <c r="J267" s="17">
        <f t="shared" ref="J267:J272" si="8">G267*(1-I267)*(1+H267)</f>
        <v>0</v>
      </c>
      <c r="L267" s="18"/>
      <c r="O267" s="19"/>
      <c r="X267" s="20"/>
      <c r="Z267" s="5">
        <v>0</v>
      </c>
    </row>
    <row r="268" spans="1:29" x14ac:dyDescent="0.25">
      <c r="A268">
        <v>263</v>
      </c>
      <c r="H268" s="18"/>
      <c r="I268" s="18"/>
      <c r="J268" s="17">
        <f t="shared" si="8"/>
        <v>0</v>
      </c>
      <c r="L268" s="18"/>
      <c r="O268" s="19"/>
      <c r="X268" s="20"/>
      <c r="Z268" s="5">
        <v>0</v>
      </c>
    </row>
    <row r="269" spans="1:29" x14ac:dyDescent="0.25">
      <c r="A269">
        <v>264</v>
      </c>
      <c r="H269" s="18"/>
      <c r="I269" s="18"/>
      <c r="J269" s="17">
        <f t="shared" si="8"/>
        <v>0</v>
      </c>
      <c r="L269" s="18"/>
      <c r="O269" s="19"/>
      <c r="X269" s="20"/>
      <c r="Z269" s="5">
        <v>0</v>
      </c>
    </row>
    <row r="270" spans="1:29" x14ac:dyDescent="0.25">
      <c r="A270">
        <v>265</v>
      </c>
      <c r="H270" s="18"/>
      <c r="I270" s="18"/>
      <c r="J270" s="17">
        <f t="shared" si="8"/>
        <v>0</v>
      </c>
      <c r="L270" s="18"/>
      <c r="O270" s="19"/>
      <c r="X270" s="20"/>
      <c r="Z270" s="5">
        <v>0</v>
      </c>
    </row>
    <row r="271" spans="1:29" x14ac:dyDescent="0.25">
      <c r="A271">
        <v>266</v>
      </c>
      <c r="H271" s="18"/>
      <c r="I271" s="18"/>
      <c r="J271" s="17">
        <f t="shared" si="8"/>
        <v>0</v>
      </c>
      <c r="L271" s="18"/>
      <c r="O271" s="19"/>
      <c r="X271" s="20"/>
      <c r="Z271" s="5">
        <v>0</v>
      </c>
    </row>
    <row r="272" spans="1:29" x14ac:dyDescent="0.25">
      <c r="A272">
        <v>267</v>
      </c>
      <c r="H272" s="18"/>
      <c r="I272" s="18"/>
      <c r="J272" s="17">
        <f t="shared" si="8"/>
        <v>0</v>
      </c>
      <c r="L272" s="18"/>
      <c r="O272" s="19"/>
      <c r="X272" s="20"/>
    </row>
  </sheetData>
  <dataValidations count="1">
    <dataValidation type="list" allowBlank="1" showDropDown="1" showInputMessage="1" showErrorMessage="1" sqref="Q6:Q272" xr:uid="{00000000-0002-0000-0000-000000000000}">
      <formula1>"ACABAMENTOS,FERRAGENS,ORLA,PLACAS"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Tab_Materias_Primas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Catarino</dc:creator>
  <cp:lastModifiedBy>Paulo Catarino</cp:lastModifiedBy>
  <dcterms:created xsi:type="dcterms:W3CDTF">2024-08-05T13:59:33Z</dcterms:created>
  <dcterms:modified xsi:type="dcterms:W3CDTF">2025-09-26T20:12:56Z</dcterms:modified>
</cp:coreProperties>
</file>